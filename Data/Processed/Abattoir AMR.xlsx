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WAH3\Desktop\GitHub\AMR-abattoir-analysis\Data\"/>
    </mc:Choice>
  </mc:AlternateContent>
  <xr:revisionPtr revIDLastSave="0" documentId="13_ncr:1_{77DD5957-AFF0-4623-9630-77219986A8E6}" xr6:coauthVersionLast="43" xr6:coauthVersionMax="43" xr10:uidLastSave="{00000000-0000-0000-0000-000000000000}"/>
  <bookViews>
    <workbookView xWindow="12" yWindow="12" windowWidth="23016" windowHeight="12216" xr2:uid="{00000000-000D-0000-FFFF-FFFF00000000}"/>
  </bookViews>
  <sheets>
    <sheet name="EDA2" sheetId="3" r:id="rId1"/>
    <sheet name="EDA" sheetId="9" r:id="rId2"/>
    <sheet name="Feature engineering" sheetId="1" r:id="rId3"/>
    <sheet name="CLSI " sheetId="2" r:id="rId4"/>
  </sheets>
  <definedNames>
    <definedName name="_xlnm._FilterDatabase" localSheetId="2" hidden="1">'Feature engineering'!$A$1:$N$275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" i="1"/>
  <c r="N274" i="1" l="1"/>
  <c r="O274" i="1" s="1"/>
  <c r="N262" i="1"/>
  <c r="O262" i="1" s="1"/>
  <c r="N254" i="1"/>
  <c r="O254" i="1" s="1"/>
  <c r="N238" i="1"/>
  <c r="O238" i="1" s="1"/>
  <c r="N234" i="1"/>
  <c r="O234" i="1" s="1"/>
  <c r="N226" i="1"/>
  <c r="O226" i="1" s="1"/>
  <c r="N218" i="1"/>
  <c r="O218" i="1" s="1"/>
  <c r="N206" i="1"/>
  <c r="O206" i="1" s="1"/>
  <c r="N198" i="1"/>
  <c r="O198" i="1" s="1"/>
  <c r="N182" i="1"/>
  <c r="O182" i="1" s="1"/>
  <c r="N178" i="1"/>
  <c r="O178" i="1" s="1"/>
  <c r="N170" i="1"/>
  <c r="O170" i="1" s="1"/>
  <c r="N162" i="1"/>
  <c r="O162" i="1" s="1"/>
  <c r="N154" i="1"/>
  <c r="O154" i="1" s="1"/>
  <c r="N146" i="1"/>
  <c r="O146" i="1" s="1"/>
  <c r="N138" i="1"/>
  <c r="O138" i="1" s="1"/>
  <c r="N130" i="1"/>
  <c r="O130" i="1" s="1"/>
  <c r="N122" i="1"/>
  <c r="O122" i="1" s="1"/>
  <c r="N114" i="1"/>
  <c r="O114" i="1" s="1"/>
  <c r="N106" i="1"/>
  <c r="O106" i="1" s="1"/>
  <c r="N102" i="1"/>
  <c r="O102" i="1" s="1"/>
  <c r="N98" i="1"/>
  <c r="O98" i="1" s="1"/>
  <c r="N90" i="1"/>
  <c r="O90" i="1" s="1"/>
  <c r="N86" i="1"/>
  <c r="O86" i="1" s="1"/>
  <c r="N82" i="1"/>
  <c r="O82" i="1" s="1"/>
  <c r="N78" i="1"/>
  <c r="O78" i="1" s="1"/>
  <c r="N74" i="1"/>
  <c r="O74" i="1" s="1"/>
  <c r="N70" i="1"/>
  <c r="O70" i="1" s="1"/>
  <c r="N66" i="1"/>
  <c r="O66" i="1" s="1"/>
  <c r="N62" i="1"/>
  <c r="O62" i="1" s="1"/>
  <c r="N58" i="1"/>
  <c r="O58" i="1" s="1"/>
  <c r="N54" i="1"/>
  <c r="O54" i="1" s="1"/>
  <c r="N50" i="1"/>
  <c r="O50" i="1" s="1"/>
  <c r="N38" i="1"/>
  <c r="O38" i="1" s="1"/>
  <c r="N34" i="1"/>
  <c r="O34" i="1" s="1"/>
  <c r="N30" i="1"/>
  <c r="O30" i="1" s="1"/>
  <c r="N26" i="1"/>
  <c r="O26" i="1" s="1"/>
  <c r="N22" i="1"/>
  <c r="O22" i="1" s="1"/>
  <c r="N18" i="1"/>
  <c r="O18" i="1" s="1"/>
  <c r="N14" i="1"/>
  <c r="O14" i="1" s="1"/>
  <c r="N10" i="1"/>
  <c r="O10" i="1" s="1"/>
  <c r="N270" i="1"/>
  <c r="O270" i="1" s="1"/>
  <c r="N266" i="1"/>
  <c r="O266" i="1" s="1"/>
  <c r="N258" i="1"/>
  <c r="O258" i="1" s="1"/>
  <c r="N246" i="1"/>
  <c r="O246" i="1" s="1"/>
  <c r="N230" i="1"/>
  <c r="O230" i="1" s="1"/>
  <c r="N222" i="1"/>
  <c r="O222" i="1" s="1"/>
  <c r="N214" i="1"/>
  <c r="O214" i="1" s="1"/>
  <c r="N202" i="1"/>
  <c r="O202" i="1" s="1"/>
  <c r="N194" i="1"/>
  <c r="O194" i="1" s="1"/>
  <c r="N186" i="1"/>
  <c r="O186" i="1" s="1"/>
  <c r="N174" i="1"/>
  <c r="O174" i="1" s="1"/>
  <c r="N166" i="1"/>
  <c r="O166" i="1" s="1"/>
  <c r="N158" i="1"/>
  <c r="O158" i="1" s="1"/>
  <c r="N150" i="1"/>
  <c r="O150" i="1" s="1"/>
  <c r="N142" i="1"/>
  <c r="O142" i="1" s="1"/>
  <c r="N134" i="1"/>
  <c r="O134" i="1" s="1"/>
  <c r="N126" i="1"/>
  <c r="O126" i="1" s="1"/>
  <c r="N118" i="1"/>
  <c r="O118" i="1" s="1"/>
  <c r="N110" i="1"/>
  <c r="O110" i="1" s="1"/>
  <c r="N94" i="1"/>
  <c r="O94" i="1" s="1"/>
  <c r="N210" i="1"/>
  <c r="O210" i="1" s="1"/>
  <c r="N190" i="1"/>
  <c r="O190" i="1" s="1"/>
  <c r="N6" i="1"/>
  <c r="O6" i="1" s="1"/>
  <c r="N46" i="1"/>
  <c r="O46" i="1" s="1"/>
  <c r="N42" i="1"/>
  <c r="O42" i="1" s="1"/>
  <c r="N275" i="1"/>
  <c r="O275" i="1" s="1"/>
  <c r="N271" i="1"/>
  <c r="O271" i="1" s="1"/>
  <c r="N267" i="1"/>
  <c r="O267" i="1" s="1"/>
  <c r="N263" i="1"/>
  <c r="O263" i="1" s="1"/>
  <c r="N259" i="1"/>
  <c r="O259" i="1" s="1"/>
  <c r="N255" i="1"/>
  <c r="O255" i="1" s="1"/>
  <c r="N251" i="1"/>
  <c r="O251" i="1" s="1"/>
  <c r="N247" i="1"/>
  <c r="O247" i="1" s="1"/>
  <c r="N243" i="1"/>
  <c r="O243" i="1" s="1"/>
  <c r="N239" i="1"/>
  <c r="O239" i="1" s="1"/>
  <c r="N235" i="1"/>
  <c r="O235" i="1" s="1"/>
  <c r="N231" i="1"/>
  <c r="O231" i="1" s="1"/>
  <c r="N227" i="1"/>
  <c r="O227" i="1" s="1"/>
  <c r="N223" i="1"/>
  <c r="O223" i="1" s="1"/>
  <c r="N219" i="1"/>
  <c r="O219" i="1" s="1"/>
  <c r="N215" i="1"/>
  <c r="O215" i="1" s="1"/>
  <c r="N211" i="1"/>
  <c r="O211" i="1" s="1"/>
  <c r="N207" i="1"/>
  <c r="O207" i="1" s="1"/>
  <c r="N203" i="1"/>
  <c r="O203" i="1" s="1"/>
  <c r="N199" i="1"/>
  <c r="O199" i="1" s="1"/>
  <c r="N195" i="1"/>
  <c r="O195" i="1" s="1"/>
  <c r="N191" i="1"/>
  <c r="O191" i="1" s="1"/>
  <c r="N187" i="1"/>
  <c r="O187" i="1" s="1"/>
  <c r="N183" i="1"/>
  <c r="O183" i="1" s="1"/>
  <c r="N179" i="1"/>
  <c r="O179" i="1" s="1"/>
  <c r="N175" i="1"/>
  <c r="O175" i="1" s="1"/>
  <c r="N171" i="1"/>
  <c r="O171" i="1" s="1"/>
  <c r="N167" i="1"/>
  <c r="O167" i="1" s="1"/>
  <c r="N163" i="1"/>
  <c r="O163" i="1" s="1"/>
  <c r="N159" i="1"/>
  <c r="O159" i="1" s="1"/>
  <c r="N155" i="1"/>
  <c r="O155" i="1" s="1"/>
  <c r="N151" i="1"/>
  <c r="O151" i="1" s="1"/>
  <c r="N147" i="1"/>
  <c r="O147" i="1" s="1"/>
  <c r="N143" i="1"/>
  <c r="O143" i="1" s="1"/>
  <c r="N139" i="1"/>
  <c r="O139" i="1" s="1"/>
  <c r="N135" i="1"/>
  <c r="O135" i="1" s="1"/>
  <c r="N131" i="1"/>
  <c r="O131" i="1" s="1"/>
  <c r="N127" i="1"/>
  <c r="O127" i="1" s="1"/>
  <c r="N123" i="1"/>
  <c r="O123" i="1" s="1"/>
  <c r="N119" i="1"/>
  <c r="O119" i="1" s="1"/>
  <c r="N115" i="1"/>
  <c r="O115" i="1" s="1"/>
  <c r="N111" i="1"/>
  <c r="O111" i="1" s="1"/>
  <c r="N107" i="1"/>
  <c r="O107" i="1" s="1"/>
  <c r="N103" i="1"/>
  <c r="O103" i="1" s="1"/>
  <c r="N99" i="1"/>
  <c r="O99" i="1" s="1"/>
  <c r="N95" i="1"/>
  <c r="O95" i="1" s="1"/>
  <c r="N91" i="1"/>
  <c r="O91" i="1" s="1"/>
  <c r="N87" i="1"/>
  <c r="O87" i="1" s="1"/>
  <c r="N83" i="1"/>
  <c r="O83" i="1" s="1"/>
  <c r="N79" i="1"/>
  <c r="O79" i="1" s="1"/>
  <c r="N75" i="1"/>
  <c r="O75" i="1" s="1"/>
  <c r="N71" i="1"/>
  <c r="O71" i="1" s="1"/>
  <c r="N67" i="1"/>
  <c r="O67" i="1" s="1"/>
  <c r="N63" i="1"/>
  <c r="O63" i="1" s="1"/>
  <c r="N59" i="1"/>
  <c r="O59" i="1" s="1"/>
  <c r="N55" i="1"/>
  <c r="O55" i="1" s="1"/>
  <c r="N51" i="1"/>
  <c r="O51" i="1" s="1"/>
  <c r="N47" i="1"/>
  <c r="O47" i="1" s="1"/>
  <c r="N43" i="1"/>
  <c r="O43" i="1" s="1"/>
  <c r="N39" i="1"/>
  <c r="O39" i="1" s="1"/>
  <c r="N35" i="1"/>
  <c r="O35" i="1" s="1"/>
  <c r="N31" i="1"/>
  <c r="O31" i="1" s="1"/>
  <c r="N27" i="1"/>
  <c r="O27" i="1" s="1"/>
  <c r="N23" i="1"/>
  <c r="O23" i="1" s="1"/>
  <c r="N19" i="1"/>
  <c r="O19" i="1" s="1"/>
  <c r="N15" i="1"/>
  <c r="O15" i="1" s="1"/>
  <c r="N11" i="1"/>
  <c r="O11" i="1" s="1"/>
  <c r="N7" i="1"/>
  <c r="O7" i="1" s="1"/>
  <c r="N250" i="1"/>
  <c r="O250" i="1" s="1"/>
  <c r="N242" i="1"/>
  <c r="O242" i="1" s="1"/>
  <c r="N269" i="1"/>
  <c r="O269" i="1" s="1"/>
  <c r="N265" i="1"/>
  <c r="O265" i="1" s="1"/>
  <c r="N253" i="1"/>
  <c r="O253" i="1" s="1"/>
  <c r="N245" i="1"/>
  <c r="O245" i="1" s="1"/>
  <c r="N237" i="1"/>
  <c r="O237" i="1" s="1"/>
  <c r="N229" i="1"/>
  <c r="O229" i="1" s="1"/>
  <c r="N221" i="1"/>
  <c r="O221" i="1" s="1"/>
  <c r="N213" i="1"/>
  <c r="O213" i="1" s="1"/>
  <c r="N205" i="1"/>
  <c r="O205" i="1" s="1"/>
  <c r="N197" i="1"/>
  <c r="O197" i="1" s="1"/>
  <c r="N189" i="1"/>
  <c r="O189" i="1" s="1"/>
  <c r="N181" i="1"/>
  <c r="O181" i="1" s="1"/>
  <c r="N173" i="1"/>
  <c r="O173" i="1" s="1"/>
  <c r="N161" i="1"/>
  <c r="O161" i="1" s="1"/>
  <c r="N157" i="1"/>
  <c r="O157" i="1" s="1"/>
  <c r="N149" i="1"/>
  <c r="O149" i="1" s="1"/>
  <c r="N137" i="1"/>
  <c r="O137" i="1" s="1"/>
  <c r="N133" i="1"/>
  <c r="O133" i="1" s="1"/>
  <c r="N125" i="1"/>
  <c r="O125" i="1" s="1"/>
  <c r="N113" i="1"/>
  <c r="O113" i="1" s="1"/>
  <c r="N109" i="1"/>
  <c r="O109" i="1" s="1"/>
  <c r="N101" i="1"/>
  <c r="O101" i="1" s="1"/>
  <c r="N89" i="1"/>
  <c r="O89" i="1" s="1"/>
  <c r="N81" i="1"/>
  <c r="O81" i="1" s="1"/>
  <c r="N73" i="1"/>
  <c r="O73" i="1" s="1"/>
  <c r="N65" i="1"/>
  <c r="O65" i="1" s="1"/>
  <c r="N57" i="1"/>
  <c r="O57" i="1" s="1"/>
  <c r="N53" i="1"/>
  <c r="O53" i="1" s="1"/>
  <c r="N45" i="1"/>
  <c r="O45" i="1" s="1"/>
  <c r="N37" i="1"/>
  <c r="O37" i="1" s="1"/>
  <c r="N25" i="1"/>
  <c r="O25" i="1" s="1"/>
  <c r="N17" i="1"/>
  <c r="O17" i="1" s="1"/>
  <c r="N9" i="1"/>
  <c r="O9" i="1" s="1"/>
  <c r="S9" i="1"/>
  <c r="N3" i="1"/>
  <c r="O3" i="1" s="1"/>
  <c r="S8" i="1"/>
  <c r="N273" i="1"/>
  <c r="O273" i="1" s="1"/>
  <c r="N261" i="1"/>
  <c r="O261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 s="1"/>
  <c r="N201" i="1"/>
  <c r="O201" i="1" s="1"/>
  <c r="N193" i="1"/>
  <c r="O193" i="1" s="1"/>
  <c r="N185" i="1"/>
  <c r="O185" i="1" s="1"/>
  <c r="N177" i="1"/>
  <c r="O177" i="1" s="1"/>
  <c r="N169" i="1"/>
  <c r="O169" i="1" s="1"/>
  <c r="N165" i="1"/>
  <c r="O165" i="1" s="1"/>
  <c r="N153" i="1"/>
  <c r="O153" i="1" s="1"/>
  <c r="N145" i="1"/>
  <c r="O145" i="1" s="1"/>
  <c r="N141" i="1"/>
  <c r="O141" i="1" s="1"/>
  <c r="N129" i="1"/>
  <c r="O129" i="1" s="1"/>
  <c r="N121" i="1"/>
  <c r="O121" i="1" s="1"/>
  <c r="N117" i="1"/>
  <c r="O117" i="1" s="1"/>
  <c r="N105" i="1"/>
  <c r="O105" i="1" s="1"/>
  <c r="N97" i="1"/>
  <c r="O97" i="1" s="1"/>
  <c r="N93" i="1"/>
  <c r="O93" i="1" s="1"/>
  <c r="N85" i="1"/>
  <c r="O85" i="1" s="1"/>
  <c r="N77" i="1"/>
  <c r="O77" i="1" s="1"/>
  <c r="N69" i="1"/>
  <c r="O69" i="1" s="1"/>
  <c r="N61" i="1"/>
  <c r="O61" i="1" s="1"/>
  <c r="N49" i="1"/>
  <c r="O49" i="1" s="1"/>
  <c r="N41" i="1"/>
  <c r="O41" i="1" s="1"/>
  <c r="N33" i="1"/>
  <c r="O33" i="1" s="1"/>
  <c r="N29" i="1"/>
  <c r="O29" i="1" s="1"/>
  <c r="N21" i="1"/>
  <c r="O21" i="1" s="1"/>
  <c r="N13" i="1"/>
  <c r="O13" i="1" s="1"/>
  <c r="N5" i="1"/>
  <c r="O5" i="1" s="1"/>
  <c r="N2" i="1"/>
  <c r="O2" i="1" s="1"/>
  <c r="N272" i="1"/>
  <c r="O272" i="1" s="1"/>
  <c r="N268" i="1"/>
  <c r="O268" i="1" s="1"/>
  <c r="N264" i="1"/>
  <c r="O264" i="1" s="1"/>
  <c r="N260" i="1"/>
  <c r="O260" i="1" s="1"/>
  <c r="N256" i="1"/>
  <c r="O256" i="1" s="1"/>
  <c r="N252" i="1"/>
  <c r="O252" i="1" s="1"/>
  <c r="N248" i="1"/>
  <c r="O248" i="1" s="1"/>
  <c r="N244" i="1"/>
  <c r="O244" i="1" s="1"/>
  <c r="N240" i="1"/>
  <c r="O240" i="1" s="1"/>
  <c r="N236" i="1"/>
  <c r="O236" i="1" s="1"/>
  <c r="N232" i="1"/>
  <c r="O232" i="1" s="1"/>
  <c r="N228" i="1"/>
  <c r="O228" i="1" s="1"/>
  <c r="N224" i="1"/>
  <c r="O224" i="1" s="1"/>
  <c r="N220" i="1"/>
  <c r="O220" i="1" s="1"/>
  <c r="N216" i="1"/>
  <c r="O216" i="1" s="1"/>
  <c r="N212" i="1"/>
  <c r="O212" i="1" s="1"/>
  <c r="N208" i="1"/>
  <c r="O208" i="1" s="1"/>
  <c r="N204" i="1"/>
  <c r="O204" i="1" s="1"/>
  <c r="N200" i="1"/>
  <c r="O200" i="1" s="1"/>
  <c r="N196" i="1"/>
  <c r="O196" i="1" s="1"/>
  <c r="N192" i="1"/>
  <c r="O192" i="1" s="1"/>
  <c r="N188" i="1"/>
  <c r="O188" i="1" s="1"/>
  <c r="N184" i="1"/>
  <c r="O184" i="1" s="1"/>
  <c r="N180" i="1"/>
  <c r="O180" i="1" s="1"/>
  <c r="N176" i="1"/>
  <c r="O176" i="1" s="1"/>
  <c r="N172" i="1"/>
  <c r="O172" i="1" s="1"/>
  <c r="N168" i="1"/>
  <c r="O168" i="1" s="1"/>
  <c r="N164" i="1"/>
  <c r="O164" i="1" s="1"/>
  <c r="N160" i="1"/>
  <c r="O160" i="1" s="1"/>
  <c r="N156" i="1"/>
  <c r="O156" i="1" s="1"/>
  <c r="N152" i="1"/>
  <c r="O152" i="1" s="1"/>
  <c r="N148" i="1"/>
  <c r="O148" i="1" s="1"/>
  <c r="N144" i="1"/>
  <c r="O144" i="1" s="1"/>
  <c r="N140" i="1"/>
  <c r="O140" i="1" s="1"/>
  <c r="N136" i="1"/>
  <c r="O136" i="1" s="1"/>
  <c r="N132" i="1"/>
  <c r="O132" i="1" s="1"/>
  <c r="N128" i="1"/>
  <c r="O128" i="1" s="1"/>
  <c r="N124" i="1"/>
  <c r="O124" i="1" s="1"/>
  <c r="N120" i="1"/>
  <c r="O120" i="1" s="1"/>
  <c r="N116" i="1"/>
  <c r="O116" i="1" s="1"/>
  <c r="N112" i="1"/>
  <c r="O112" i="1" s="1"/>
  <c r="N108" i="1"/>
  <c r="O108" i="1" s="1"/>
  <c r="N104" i="1"/>
  <c r="O104" i="1" s="1"/>
  <c r="N100" i="1"/>
  <c r="O100" i="1" s="1"/>
  <c r="N96" i="1"/>
  <c r="O96" i="1" s="1"/>
  <c r="N92" i="1"/>
  <c r="O92" i="1" s="1"/>
  <c r="N88" i="1"/>
  <c r="O88" i="1" s="1"/>
  <c r="N84" i="1"/>
  <c r="O84" i="1" s="1"/>
  <c r="N80" i="1"/>
  <c r="O80" i="1" s="1"/>
  <c r="N76" i="1"/>
  <c r="O76" i="1" s="1"/>
  <c r="N72" i="1"/>
  <c r="O72" i="1" s="1"/>
  <c r="N68" i="1"/>
  <c r="O68" i="1" s="1"/>
  <c r="N64" i="1"/>
  <c r="O64" i="1" s="1"/>
  <c r="N60" i="1"/>
  <c r="O60" i="1" s="1"/>
  <c r="N56" i="1"/>
  <c r="O56" i="1" s="1"/>
  <c r="N52" i="1"/>
  <c r="O52" i="1" s="1"/>
  <c r="N48" i="1"/>
  <c r="O48" i="1" s="1"/>
  <c r="N44" i="1"/>
  <c r="O44" i="1" s="1"/>
  <c r="N40" i="1"/>
  <c r="O40" i="1" s="1"/>
  <c r="N36" i="1"/>
  <c r="O36" i="1" s="1"/>
  <c r="N32" i="1"/>
  <c r="O32" i="1" s="1"/>
  <c r="N28" i="1"/>
  <c r="O28" i="1" s="1"/>
  <c r="N24" i="1"/>
  <c r="O24" i="1" s="1"/>
  <c r="N20" i="1"/>
  <c r="O20" i="1" s="1"/>
  <c r="N16" i="1"/>
  <c r="O16" i="1" s="1"/>
  <c r="N12" i="1"/>
  <c r="O12" i="1" s="1"/>
  <c r="N8" i="1"/>
  <c r="O8" i="1" s="1"/>
  <c r="N4" i="1"/>
  <c r="O4" i="1" s="1"/>
  <c r="S10" i="1"/>
  <c r="S11" i="1" l="1"/>
</calcChain>
</file>

<file path=xl/sharedStrings.xml><?xml version="1.0" encoding="utf-8"?>
<sst xmlns="http://schemas.openxmlformats.org/spreadsheetml/2006/main" count="1022" uniqueCount="354">
  <si>
    <t>GENTAMICIN</t>
  </si>
  <si>
    <t>CIPROFLOXACIN</t>
  </si>
  <si>
    <t>CEFTAZIDIME</t>
  </si>
  <si>
    <t>IFE-T</t>
  </si>
  <si>
    <t>IFE-C</t>
  </si>
  <si>
    <t>IFE-S</t>
  </si>
  <si>
    <t>OSU-T</t>
  </si>
  <si>
    <t>OSU-C</t>
  </si>
  <si>
    <t>OSU-S</t>
  </si>
  <si>
    <t>IWO-T</t>
  </si>
  <si>
    <t>IWO-C</t>
  </si>
  <si>
    <t>IWO-S</t>
  </si>
  <si>
    <t>EDE-T</t>
  </si>
  <si>
    <t>EDE-C</t>
  </si>
  <si>
    <t>EDE-S</t>
  </si>
  <si>
    <t>AUGMENTIN</t>
  </si>
  <si>
    <t>IMIPENEM</t>
  </si>
  <si>
    <t>Antibiotic</t>
  </si>
  <si>
    <t>Disc Potency</t>
  </si>
  <si>
    <t>Resistant (R)</t>
  </si>
  <si>
    <t>Intermediate (I)</t>
  </si>
  <si>
    <t>Sensitive (S)</t>
  </si>
  <si>
    <t>Imipenem</t>
  </si>
  <si>
    <t>10 μg</t>
  </si>
  <si>
    <t>≤19 mm</t>
  </si>
  <si>
    <t>20–22 mm</t>
  </si>
  <si>
    <t>≥23 mm</t>
  </si>
  <si>
    <t>Ceftazidime</t>
  </si>
  <si>
    <t>30 μg</t>
  </si>
  <si>
    <t>≤17 mm</t>
  </si>
  <si>
    <t>18–20 mm</t>
  </si>
  <si>
    <t>≥21 mm</t>
  </si>
  <si>
    <t>Gentamicin</t>
  </si>
  <si>
    <t>≤12 mm</t>
  </si>
  <si>
    <t>13–14 mm</t>
  </si>
  <si>
    <t>≥15 mm</t>
  </si>
  <si>
    <t>Augmentin</t>
  </si>
  <si>
    <t>20/10 μg</t>
  </si>
  <si>
    <t>≤13 mm</t>
  </si>
  <si>
    <t>14–17 mm</t>
  </si>
  <si>
    <t>≥18 mm</t>
  </si>
  <si>
    <t>Ciprofloxacin</t>
  </si>
  <si>
    <t>5 μg</t>
  </si>
  <si>
    <t>≤21 mm</t>
  </si>
  <si>
    <t>22–25 mm</t>
  </si>
  <si>
    <t>≥26 mm</t>
  </si>
  <si>
    <t>STATUS</t>
  </si>
  <si>
    <t>Sensitive</t>
  </si>
  <si>
    <t>Intermediate</t>
  </si>
  <si>
    <t>Resistant</t>
  </si>
  <si>
    <t>Row Labels</t>
  </si>
  <si>
    <t>Grand Total</t>
  </si>
  <si>
    <t>Count of IMIPENEM</t>
  </si>
  <si>
    <t>Column Labels</t>
  </si>
  <si>
    <t>Count of CEFTAZIDIME</t>
  </si>
  <si>
    <t>Count of GENTAMICIN</t>
  </si>
  <si>
    <t>Count of AUGMENTIN</t>
  </si>
  <si>
    <t>Count of CIPROFLOXACIN</t>
  </si>
  <si>
    <t>Butcher table</t>
  </si>
  <si>
    <t>Surrounding soil</t>
  </si>
  <si>
    <t>Concrete slab</t>
  </si>
  <si>
    <t>Ede</t>
  </si>
  <si>
    <t>Ife</t>
  </si>
  <si>
    <t>Iwo</t>
  </si>
  <si>
    <t>Osu</t>
  </si>
  <si>
    <t>Sample Source</t>
  </si>
  <si>
    <t>Imipenem Status</t>
  </si>
  <si>
    <t>Ceftazidime Status</t>
  </si>
  <si>
    <t>Gentamicin Status</t>
  </si>
  <si>
    <t>Ciprofloxacin Status</t>
  </si>
  <si>
    <t>Resistance Count</t>
  </si>
  <si>
    <t>Augmentin Status</t>
  </si>
  <si>
    <t>Town</t>
  </si>
  <si>
    <t>Resistance Category</t>
  </si>
  <si>
    <t>MDR</t>
  </si>
  <si>
    <t>Susceptible</t>
  </si>
  <si>
    <t>XDR</t>
  </si>
  <si>
    <t>Count of Resistance Category</t>
  </si>
  <si>
    <t>XDR*</t>
  </si>
  <si>
    <t>Isolate_ID</t>
  </si>
  <si>
    <t>IFE-001</t>
  </si>
  <si>
    <t>IFE-002</t>
  </si>
  <si>
    <t>IFE-003</t>
  </si>
  <si>
    <t>IFE-004</t>
  </si>
  <si>
    <t>IFE-005</t>
  </si>
  <si>
    <t>IFE-006</t>
  </si>
  <si>
    <t>IFE-007</t>
  </si>
  <si>
    <t>IFE-008</t>
  </si>
  <si>
    <t>IFE-009</t>
  </si>
  <si>
    <t>IFE-010</t>
  </si>
  <si>
    <t>IFE-011</t>
  </si>
  <si>
    <t>IFE-012</t>
  </si>
  <si>
    <t>IFE-013</t>
  </si>
  <si>
    <t>IFE-014</t>
  </si>
  <si>
    <t>IFE-015</t>
  </si>
  <si>
    <t>IFE-016</t>
  </si>
  <si>
    <t>IFE-017</t>
  </si>
  <si>
    <t>IFE-018</t>
  </si>
  <si>
    <t>IFE-019</t>
  </si>
  <si>
    <t>IFE-020</t>
  </si>
  <si>
    <t>IFE-021</t>
  </si>
  <si>
    <t>IFE-022</t>
  </si>
  <si>
    <t>IFE-023</t>
  </si>
  <si>
    <t>IFE-024</t>
  </si>
  <si>
    <t>IFE-025</t>
  </si>
  <si>
    <t>IFE-026</t>
  </si>
  <si>
    <t>IFE-027</t>
  </si>
  <si>
    <t>IFE-028</t>
  </si>
  <si>
    <t>IFE-029</t>
  </si>
  <si>
    <t>IFE-030</t>
  </si>
  <si>
    <t>IFE-031</t>
  </si>
  <si>
    <t>IFE-032</t>
  </si>
  <si>
    <t>IFE-033</t>
  </si>
  <si>
    <t>IFE-034</t>
  </si>
  <si>
    <t>IFE-035</t>
  </si>
  <si>
    <t>IFE-036</t>
  </si>
  <si>
    <t>IFE-037</t>
  </si>
  <si>
    <t>IFE-038</t>
  </si>
  <si>
    <t>IFE-039</t>
  </si>
  <si>
    <t>IFE-040</t>
  </si>
  <si>
    <t>IFE-041</t>
  </si>
  <si>
    <t>IFE-042</t>
  </si>
  <si>
    <t>IFE-043</t>
  </si>
  <si>
    <t>IFE-044</t>
  </si>
  <si>
    <t>IFE-045</t>
  </si>
  <si>
    <t>IFE-046</t>
  </si>
  <si>
    <t>IFE-047</t>
  </si>
  <si>
    <t>IFE-048</t>
  </si>
  <si>
    <t>IFE-049</t>
  </si>
  <si>
    <t>IFE-050</t>
  </si>
  <si>
    <t>IFE-051</t>
  </si>
  <si>
    <t>IFE-052</t>
  </si>
  <si>
    <t>IFE-053</t>
  </si>
  <si>
    <t>IFE-054</t>
  </si>
  <si>
    <t>IFE-055</t>
  </si>
  <si>
    <t>IFE-056</t>
  </si>
  <si>
    <t>IFE-057</t>
  </si>
  <si>
    <t>IFE-058</t>
  </si>
  <si>
    <t>IFE-059</t>
  </si>
  <si>
    <t>IFE-060</t>
  </si>
  <si>
    <t>IFE-061</t>
  </si>
  <si>
    <t>IFE-062</t>
  </si>
  <si>
    <t>IFE-063</t>
  </si>
  <si>
    <t>IFE-064</t>
  </si>
  <si>
    <t>IFE-065</t>
  </si>
  <si>
    <t>IFE-066</t>
  </si>
  <si>
    <t>IFE-067</t>
  </si>
  <si>
    <t>IFE-068</t>
  </si>
  <si>
    <t>IFE-069</t>
  </si>
  <si>
    <t>IFE-070</t>
  </si>
  <si>
    <t>IFE-071</t>
  </si>
  <si>
    <t>IFE-072</t>
  </si>
  <si>
    <t>IFE-073</t>
  </si>
  <si>
    <t>OSU-001</t>
  </si>
  <si>
    <t>OSU-002</t>
  </si>
  <si>
    <t>OSU-003</t>
  </si>
  <si>
    <t>OSU-004</t>
  </si>
  <si>
    <t>OSU-005</t>
  </si>
  <si>
    <t>OSU-006</t>
  </si>
  <si>
    <t>OSU-007</t>
  </si>
  <si>
    <t>OSU-008</t>
  </si>
  <si>
    <t>OSU-009</t>
  </si>
  <si>
    <t>OSU-010</t>
  </si>
  <si>
    <t>OSU-011</t>
  </si>
  <si>
    <t>OSU-012</t>
  </si>
  <si>
    <t>OSU-013</t>
  </si>
  <si>
    <t>OSU-014</t>
  </si>
  <si>
    <t>OSU-015</t>
  </si>
  <si>
    <t>OSU-016</t>
  </si>
  <si>
    <t>OSU-017</t>
  </si>
  <si>
    <t>OSU-018</t>
  </si>
  <si>
    <t>OSU-019</t>
  </si>
  <si>
    <t>OSU-020</t>
  </si>
  <si>
    <t>OSU-021</t>
  </si>
  <si>
    <t>OSU-022</t>
  </si>
  <si>
    <t>OSU-023</t>
  </si>
  <si>
    <t>OSU-024</t>
  </si>
  <si>
    <t>OSU-025</t>
  </si>
  <si>
    <t>OSU-026</t>
  </si>
  <si>
    <t>OSU-027</t>
  </si>
  <si>
    <t>OSU-028</t>
  </si>
  <si>
    <t>OSU-029</t>
  </si>
  <si>
    <t>OSU-030</t>
  </si>
  <si>
    <t>OSU-031</t>
  </si>
  <si>
    <t>OSU-032</t>
  </si>
  <si>
    <t>OSU-033</t>
  </si>
  <si>
    <t>OSU-034</t>
  </si>
  <si>
    <t>OSU-035</t>
  </si>
  <si>
    <t>OSU-036</t>
  </si>
  <si>
    <t>OSU-037</t>
  </si>
  <si>
    <t>OSU-038</t>
  </si>
  <si>
    <t>OSU-039</t>
  </si>
  <si>
    <t>OSU-040</t>
  </si>
  <si>
    <t>OSU-041</t>
  </si>
  <si>
    <t>OSU-042</t>
  </si>
  <si>
    <t>OSU-043</t>
  </si>
  <si>
    <t>OSU-044</t>
  </si>
  <si>
    <t>OSU-045</t>
  </si>
  <si>
    <t>OSU-046</t>
  </si>
  <si>
    <t>OSU-047</t>
  </si>
  <si>
    <t>OSU-048</t>
  </si>
  <si>
    <t>OSU-049</t>
  </si>
  <si>
    <t>OSU-050</t>
  </si>
  <si>
    <t>OSU-051</t>
  </si>
  <si>
    <t>OSU-052</t>
  </si>
  <si>
    <t>OSU-053</t>
  </si>
  <si>
    <t>OSU-054</t>
  </si>
  <si>
    <t>OSU-055</t>
  </si>
  <si>
    <t>OSU-056</t>
  </si>
  <si>
    <t>OSU-057</t>
  </si>
  <si>
    <t>OSU-058</t>
  </si>
  <si>
    <t>OSU-059</t>
  </si>
  <si>
    <t>OSU-060</t>
  </si>
  <si>
    <t>OSU-061</t>
  </si>
  <si>
    <t>OSU-062</t>
  </si>
  <si>
    <t>OSU-063</t>
  </si>
  <si>
    <t>OSU-064</t>
  </si>
  <si>
    <t>OSU-065</t>
  </si>
  <si>
    <t>OSU-066</t>
  </si>
  <si>
    <t>OSU-067</t>
  </si>
  <si>
    <t>OSU-068</t>
  </si>
  <si>
    <t>OSU-069</t>
  </si>
  <si>
    <t>IWO-001</t>
  </si>
  <si>
    <t>IWO-002</t>
  </si>
  <si>
    <t>IWO-003</t>
  </si>
  <si>
    <t>IWO-004</t>
  </si>
  <si>
    <t>IWO-005</t>
  </si>
  <si>
    <t>IWO-006</t>
  </si>
  <si>
    <t>IWO-007</t>
  </si>
  <si>
    <t>IWO-008</t>
  </si>
  <si>
    <t>IWO-009</t>
  </si>
  <si>
    <t>IWO-010</t>
  </si>
  <si>
    <t>IWO-011</t>
  </si>
  <si>
    <t>IWO-012</t>
  </si>
  <si>
    <t>IWO-013</t>
  </si>
  <si>
    <t>IWO-014</t>
  </si>
  <si>
    <t>IWO-015</t>
  </si>
  <si>
    <t>IWO-016</t>
  </si>
  <si>
    <t>IWO-017</t>
  </si>
  <si>
    <t>IWO-018</t>
  </si>
  <si>
    <t>IWO-019</t>
  </si>
  <si>
    <t>IWO-020</t>
  </si>
  <si>
    <t>IWO-021</t>
  </si>
  <si>
    <t>IWO-022</t>
  </si>
  <si>
    <t>IWO-023</t>
  </si>
  <si>
    <t>IWO-024</t>
  </si>
  <si>
    <t>IWO-025</t>
  </si>
  <si>
    <t>IWO-026</t>
  </si>
  <si>
    <t>IWO-027</t>
  </si>
  <si>
    <t>IWO-028</t>
  </si>
  <si>
    <t>IWO-029</t>
  </si>
  <si>
    <t>IWO-030</t>
  </si>
  <si>
    <t>IWO-031</t>
  </si>
  <si>
    <t>IWO-032</t>
  </si>
  <si>
    <t>IWO-033</t>
  </si>
  <si>
    <t>IWO-034</t>
  </si>
  <si>
    <t>IWO-035</t>
  </si>
  <si>
    <t>IWO-036</t>
  </si>
  <si>
    <t>IWO-037</t>
  </si>
  <si>
    <t>IWO-038</t>
  </si>
  <si>
    <t>IWO-039</t>
  </si>
  <si>
    <t>IWO-040</t>
  </si>
  <si>
    <t>IWO-041</t>
  </si>
  <si>
    <t>IWO-042</t>
  </si>
  <si>
    <t>IWO-043</t>
  </si>
  <si>
    <t>IWO-044</t>
  </si>
  <si>
    <t>IWO-045</t>
  </si>
  <si>
    <t>IWO-046</t>
  </si>
  <si>
    <t>IWO-047</t>
  </si>
  <si>
    <t>IWO-048</t>
  </si>
  <si>
    <t>IWO-049</t>
  </si>
  <si>
    <t>IWO-050</t>
  </si>
  <si>
    <t>IWO-051</t>
  </si>
  <si>
    <t>IWO-052</t>
  </si>
  <si>
    <t>IWO-053</t>
  </si>
  <si>
    <t>IWO-054</t>
  </si>
  <si>
    <t>IWO-055</t>
  </si>
  <si>
    <t>IWO-056</t>
  </si>
  <si>
    <t>IWO-057</t>
  </si>
  <si>
    <t>IWO-058</t>
  </si>
  <si>
    <t>IWO-059</t>
  </si>
  <si>
    <t>IWO-060</t>
  </si>
  <si>
    <t>IWO-061</t>
  </si>
  <si>
    <t>IWO-062</t>
  </si>
  <si>
    <t>IWO-063</t>
  </si>
  <si>
    <t>IWO-064</t>
  </si>
  <si>
    <t>IWO-065</t>
  </si>
  <si>
    <t>IWO-066</t>
  </si>
  <si>
    <t>IWO-067</t>
  </si>
  <si>
    <t>IWO-068</t>
  </si>
  <si>
    <t>IWO-069</t>
  </si>
  <si>
    <t>EDE-001</t>
  </si>
  <si>
    <t>EDE-002</t>
  </si>
  <si>
    <t>EDE-003</t>
  </si>
  <si>
    <t>EDE-004</t>
  </si>
  <si>
    <t>EDE-005</t>
  </si>
  <si>
    <t>EDE-006</t>
  </si>
  <si>
    <t>EDE-007</t>
  </si>
  <si>
    <t>EDE-008</t>
  </si>
  <si>
    <t>EDE-009</t>
  </si>
  <si>
    <t>EDE-010</t>
  </si>
  <si>
    <t>EDE-011</t>
  </si>
  <si>
    <t>EDE-012</t>
  </si>
  <si>
    <t>EDE-013</t>
  </si>
  <si>
    <t>EDE-014</t>
  </si>
  <si>
    <t>EDE-015</t>
  </si>
  <si>
    <t>EDE-016</t>
  </si>
  <si>
    <t>EDE-017</t>
  </si>
  <si>
    <t>EDE-018</t>
  </si>
  <si>
    <t>EDE-019</t>
  </si>
  <si>
    <t>EDE-020</t>
  </si>
  <si>
    <t>EDE-021</t>
  </si>
  <si>
    <t>EDE-022</t>
  </si>
  <si>
    <t>EDE-023</t>
  </si>
  <si>
    <t>EDE-024</t>
  </si>
  <si>
    <t>EDE-025</t>
  </si>
  <si>
    <t>EDE-026</t>
  </si>
  <si>
    <t>EDE-027</t>
  </si>
  <si>
    <t>EDE-028</t>
  </si>
  <si>
    <t>EDE-029</t>
  </si>
  <si>
    <t>EDE-030</t>
  </si>
  <si>
    <t>EDE-031</t>
  </si>
  <si>
    <t>EDE-032</t>
  </si>
  <si>
    <t>EDE-033</t>
  </si>
  <si>
    <t>EDE-034</t>
  </si>
  <si>
    <t>EDE-035</t>
  </si>
  <si>
    <t>EDE-036</t>
  </si>
  <si>
    <t>EDE-037</t>
  </si>
  <si>
    <t>EDE-038</t>
  </si>
  <si>
    <t>EDE-039</t>
  </si>
  <si>
    <t>EDE-040</t>
  </si>
  <si>
    <t>EDE-041</t>
  </si>
  <si>
    <t>EDE-042</t>
  </si>
  <si>
    <t>EDE-043</t>
  </si>
  <si>
    <t>EDE-044</t>
  </si>
  <si>
    <t>EDE-045</t>
  </si>
  <si>
    <t>EDE-046</t>
  </si>
  <si>
    <t>EDE-047</t>
  </si>
  <si>
    <t>EDE-048</t>
  </si>
  <si>
    <t>EDE-049</t>
  </si>
  <si>
    <t>EDE-050</t>
  </si>
  <si>
    <t>EDE-051</t>
  </si>
  <si>
    <t>EDE-052</t>
  </si>
  <si>
    <t>EDE-053</t>
  </si>
  <si>
    <t>EDE-054</t>
  </si>
  <si>
    <t>EDE-055</t>
  </si>
  <si>
    <t>EDE-056</t>
  </si>
  <si>
    <t>EDE-057</t>
  </si>
  <si>
    <t>EDE-058</t>
  </si>
  <si>
    <t>EDE-059</t>
  </si>
  <si>
    <t>EDE-060</t>
  </si>
  <si>
    <t>EDE-061</t>
  </si>
  <si>
    <t>EDE-062</t>
  </si>
  <si>
    <t>EDE-063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</si>
</sst>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</cellXfs>
  <cellStyles count="1"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0505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3.710167939818" createdVersion="6" refreshedVersion="6" minRefreshableVersion="3" recordCount="274" xr:uid="{1A8F03FB-4B14-4065-861F-6735DE47A678}">
  <cacheSource type="worksheet">
    <worksheetSource ref="A1:M275" sheet="Feature engineering"/>
  </cacheSource>
  <cacheFields count="11">
    <cacheField name="Location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IMIPENEM" numFmtId="0">
      <sharedItems containsSemiMixedTypes="0" containsString="0" containsNumber="1" containsInteger="1" minValue="0" maxValue="40" count="28">
        <n v="25"/>
        <n v="30"/>
        <n v="20"/>
        <n v="22"/>
        <n v="28"/>
        <n v="27"/>
        <n v="24"/>
        <n v="35"/>
        <n v="18"/>
        <n v="16"/>
        <n v="37"/>
        <n v="21"/>
        <n v="26"/>
        <n v="19"/>
        <n v="17"/>
        <n v="15"/>
        <n v="23"/>
        <n v="40"/>
        <n v="7"/>
        <n v="29"/>
        <n v="39"/>
        <n v="36"/>
        <n v="32"/>
        <n v="0"/>
        <n v="33"/>
        <n v="14"/>
        <n v="31"/>
        <n v="34"/>
      </sharedItems>
    </cacheField>
    <cacheField name="I RESPONSE" numFmtId="0">
      <sharedItems count="3">
        <s v="Sensitive"/>
        <s v="Intermediate"/>
        <s v="Resistant"/>
      </sharedItems>
    </cacheField>
    <cacheField name="CEFTAZIDIME" numFmtId="0">
      <sharedItems containsSemiMixedTypes="0" containsString="0" containsNumber="1" containsInteger="1" minValue="0" maxValue="32"/>
    </cacheField>
    <cacheField name="CE RESPONSE" numFmtId="0">
      <sharedItems count="3">
        <s v="Intermediate"/>
        <s v="Sensitive"/>
        <s v="Resistant"/>
      </sharedItems>
    </cacheField>
    <cacheField name="GENTAMICIN" numFmtId="0">
      <sharedItems containsSemiMixedTypes="0" containsString="0" containsNumber="1" containsInteger="1" minValue="0" maxValue="30"/>
    </cacheField>
    <cacheField name="G RESPONSE" numFmtId="0">
      <sharedItems count="3">
        <s v="Sensitive"/>
        <s v="Resistant"/>
        <s v="Intermediate"/>
      </sharedItems>
    </cacheField>
    <cacheField name="AUGMENTIN" numFmtId="0">
      <sharedItems containsSemiMixedTypes="0" containsString="0" containsNumber="1" containsInteger="1" minValue="0" maxValue="35"/>
    </cacheField>
    <cacheField name="A RESPONSE" numFmtId="0">
      <sharedItems count="3">
        <s v="Intermediate"/>
        <s v="Sensitive"/>
        <s v="Resistant"/>
      </sharedItems>
    </cacheField>
    <cacheField name="CIPROFLOXACIN" numFmtId="0">
      <sharedItems containsSemiMixedTypes="0" containsString="0" containsNumber="1" containsInteger="1" minValue="0" maxValue="35"/>
    </cacheField>
    <cacheField name="CI RESPON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5.858812847226" createdVersion="6" refreshedVersion="6" minRefreshableVersion="3" recordCount="274" xr:uid="{4E080222-DF2C-4AE4-A6C1-24D73FB3D36B}">
  <cacheSource type="worksheet">
    <worksheetSource name="Abattoir_Analysis_Data"/>
  </cacheSource>
  <cacheFields count="15">
    <cacheField name="Site ID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Town" numFmtId="0">
      <sharedItems count="4">
        <s v="Ife"/>
        <s v="Osu"/>
        <s v="Iwo"/>
        <s v="Ede"/>
      </sharedItems>
    </cacheField>
    <cacheField name="Sample Source" numFmtId="0">
      <sharedItems count="3">
        <s v="Butcher table"/>
        <s v="Concrete slab"/>
        <s v="Surrounding soil"/>
      </sharedItems>
    </cacheField>
    <cacheField name="IMIPENEM" numFmtId="0">
      <sharedItems containsSemiMixedTypes="0" containsString="0" containsNumber="1" containsInteger="1" minValue="0" maxValue="40"/>
    </cacheField>
    <cacheField name="Imipenem Status" numFmtId="0">
      <sharedItems/>
    </cacheField>
    <cacheField name="CEFTAZIDIME" numFmtId="0">
      <sharedItems containsSemiMixedTypes="0" containsString="0" containsNumber="1" containsInteger="1" minValue="0" maxValue="32"/>
    </cacheField>
    <cacheField name="Ceftazidime Status" numFmtId="0">
      <sharedItems/>
    </cacheField>
    <cacheField name="GENTAMICIN" numFmtId="0">
      <sharedItems containsSemiMixedTypes="0" containsString="0" containsNumber="1" containsInteger="1" minValue="0" maxValue="30"/>
    </cacheField>
    <cacheField name="Gentamicin Status" numFmtId="0">
      <sharedItems/>
    </cacheField>
    <cacheField name="AUGMENTIN" numFmtId="0">
      <sharedItems containsSemiMixedTypes="0" containsString="0" containsNumber="1" containsInteger="1" minValue="0" maxValue="35"/>
    </cacheField>
    <cacheField name="Augmentin Status" numFmtId="0">
      <sharedItems/>
    </cacheField>
    <cacheField name="CIPROFLOXACIN" numFmtId="0">
      <sharedItems containsSemiMixedTypes="0" containsString="0" containsNumber="1" containsInteger="1" minValue="0" maxValue="35"/>
    </cacheField>
    <cacheField name="Ciprofloxacin Status" numFmtId="0">
      <sharedItems/>
    </cacheField>
    <cacheField name="Resistance Count" numFmtId="0">
      <sharedItems containsSemiMixedTypes="0" containsString="0" containsNumber="1" containsInteger="1" minValue="0" maxValue="5"/>
    </cacheField>
    <cacheField name="Resistance Category" numFmtId="0">
      <sharedItems count="4">
        <s v="Susceptible"/>
        <s v="MDR"/>
        <s v="XDR"/>
        <s v="XDR*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n v="20"/>
    <x v="0"/>
    <n v="20"/>
    <x v="0"/>
    <n v="15"/>
    <x v="0"/>
    <n v="28"/>
    <s v="Sensitive"/>
  </r>
  <r>
    <x v="0"/>
    <x v="0"/>
    <x v="0"/>
    <n v="25"/>
    <x v="1"/>
    <n v="20"/>
    <x v="0"/>
    <n v="20"/>
    <x v="1"/>
    <n v="30"/>
    <s v="Sensitive"/>
  </r>
  <r>
    <x v="0"/>
    <x v="1"/>
    <x v="0"/>
    <n v="10"/>
    <x v="2"/>
    <n v="20"/>
    <x v="0"/>
    <n v="20"/>
    <x v="1"/>
    <n v="25"/>
    <s v="Intermediate"/>
  </r>
  <r>
    <x v="0"/>
    <x v="0"/>
    <x v="0"/>
    <n v="20"/>
    <x v="0"/>
    <n v="20"/>
    <x v="0"/>
    <n v="25"/>
    <x v="1"/>
    <n v="28"/>
    <s v="Sensitive"/>
  </r>
  <r>
    <x v="0"/>
    <x v="0"/>
    <x v="0"/>
    <n v="7"/>
    <x v="2"/>
    <n v="20"/>
    <x v="0"/>
    <n v="20"/>
    <x v="1"/>
    <n v="22"/>
    <s v="Intermediate"/>
  </r>
  <r>
    <x v="0"/>
    <x v="0"/>
    <x v="0"/>
    <n v="0"/>
    <x v="2"/>
    <n v="15"/>
    <x v="0"/>
    <n v="15"/>
    <x v="0"/>
    <n v="25"/>
    <s v="Intermediate"/>
  </r>
  <r>
    <x v="0"/>
    <x v="2"/>
    <x v="1"/>
    <n v="0"/>
    <x v="2"/>
    <n v="22"/>
    <x v="0"/>
    <n v="10"/>
    <x v="2"/>
    <n v="22"/>
    <s v="Intermediate"/>
  </r>
  <r>
    <x v="0"/>
    <x v="0"/>
    <x v="0"/>
    <n v="25"/>
    <x v="1"/>
    <n v="18"/>
    <x v="0"/>
    <n v="18"/>
    <x v="1"/>
    <n v="22"/>
    <s v="Intermediate"/>
  </r>
  <r>
    <x v="0"/>
    <x v="3"/>
    <x v="1"/>
    <n v="0"/>
    <x v="2"/>
    <n v="12"/>
    <x v="1"/>
    <n v="12"/>
    <x v="2"/>
    <n v="22"/>
    <s v="Intermediate"/>
  </r>
  <r>
    <x v="0"/>
    <x v="2"/>
    <x v="1"/>
    <n v="0"/>
    <x v="2"/>
    <n v="10"/>
    <x v="1"/>
    <n v="10"/>
    <x v="2"/>
    <n v="22"/>
    <s v="Intermediate"/>
  </r>
  <r>
    <x v="0"/>
    <x v="4"/>
    <x v="0"/>
    <n v="20"/>
    <x v="0"/>
    <n v="18"/>
    <x v="0"/>
    <n v="20"/>
    <x v="1"/>
    <n v="25"/>
    <s v="Intermediate"/>
  </r>
  <r>
    <x v="0"/>
    <x v="5"/>
    <x v="0"/>
    <n v="27"/>
    <x v="1"/>
    <n v="20"/>
    <x v="0"/>
    <n v="20"/>
    <x v="1"/>
    <n v="28"/>
    <s v="Sensitive"/>
  </r>
  <r>
    <x v="0"/>
    <x v="3"/>
    <x v="1"/>
    <n v="12"/>
    <x v="2"/>
    <n v="0"/>
    <x v="1"/>
    <n v="8"/>
    <x v="2"/>
    <n v="0"/>
    <s v="Resistant"/>
  </r>
  <r>
    <x v="0"/>
    <x v="3"/>
    <x v="1"/>
    <n v="0"/>
    <x v="2"/>
    <n v="20"/>
    <x v="0"/>
    <n v="20"/>
    <x v="1"/>
    <n v="20"/>
    <s v="Resistant"/>
  </r>
  <r>
    <x v="0"/>
    <x v="6"/>
    <x v="0"/>
    <n v="15"/>
    <x v="2"/>
    <n v="25"/>
    <x v="0"/>
    <n v="25"/>
    <x v="1"/>
    <n v="20"/>
    <s v="Resistant"/>
  </r>
  <r>
    <x v="0"/>
    <x v="7"/>
    <x v="0"/>
    <n v="20"/>
    <x v="0"/>
    <n v="25"/>
    <x v="0"/>
    <n v="25"/>
    <x v="1"/>
    <n v="30"/>
    <s v="Sensitive"/>
  </r>
  <r>
    <x v="0"/>
    <x v="5"/>
    <x v="0"/>
    <n v="27"/>
    <x v="1"/>
    <n v="20"/>
    <x v="0"/>
    <n v="20"/>
    <x v="1"/>
    <n v="0"/>
    <s v="Resistant"/>
  </r>
  <r>
    <x v="0"/>
    <x v="2"/>
    <x v="1"/>
    <n v="22"/>
    <x v="1"/>
    <n v="0"/>
    <x v="1"/>
    <n v="0"/>
    <x v="2"/>
    <n v="0"/>
    <s v="Resistant"/>
  </r>
  <r>
    <x v="0"/>
    <x v="0"/>
    <x v="0"/>
    <n v="25"/>
    <x v="1"/>
    <n v="13"/>
    <x v="2"/>
    <n v="20"/>
    <x v="1"/>
    <n v="22"/>
    <s v="Intermediate"/>
  </r>
  <r>
    <x v="0"/>
    <x v="8"/>
    <x v="2"/>
    <n v="27"/>
    <x v="1"/>
    <n v="20"/>
    <x v="0"/>
    <n v="0"/>
    <x v="2"/>
    <n v="25"/>
    <s v="Intermediate"/>
  </r>
  <r>
    <x v="0"/>
    <x v="5"/>
    <x v="0"/>
    <n v="15"/>
    <x v="2"/>
    <n v="18"/>
    <x v="0"/>
    <n v="15"/>
    <x v="0"/>
    <n v="25"/>
    <s v="Intermediate"/>
  </r>
  <r>
    <x v="0"/>
    <x v="2"/>
    <x v="1"/>
    <n v="22"/>
    <x v="1"/>
    <n v="10"/>
    <x v="1"/>
    <n v="20"/>
    <x v="1"/>
    <n v="22"/>
    <s v="Intermediate"/>
  </r>
  <r>
    <x v="0"/>
    <x v="9"/>
    <x v="2"/>
    <n v="25"/>
    <x v="1"/>
    <n v="20"/>
    <x v="0"/>
    <n v="0"/>
    <x v="2"/>
    <n v="30"/>
    <s v="Sensitive"/>
  </r>
  <r>
    <x v="0"/>
    <x v="2"/>
    <x v="1"/>
    <n v="20"/>
    <x v="0"/>
    <n v="20"/>
    <x v="0"/>
    <n v="20"/>
    <x v="1"/>
    <n v="20"/>
    <s v="Resistant"/>
  </r>
  <r>
    <x v="0"/>
    <x v="2"/>
    <x v="1"/>
    <n v="10"/>
    <x v="2"/>
    <n v="15"/>
    <x v="0"/>
    <n v="0"/>
    <x v="2"/>
    <n v="15"/>
    <s v="Resistant"/>
  </r>
  <r>
    <x v="0"/>
    <x v="1"/>
    <x v="0"/>
    <n v="15"/>
    <x v="2"/>
    <n v="15"/>
    <x v="0"/>
    <n v="12"/>
    <x v="2"/>
    <n v="0"/>
    <s v="Resistant"/>
  </r>
  <r>
    <x v="0"/>
    <x v="10"/>
    <x v="0"/>
    <n v="15"/>
    <x v="2"/>
    <n v="20"/>
    <x v="0"/>
    <n v="24"/>
    <x v="1"/>
    <n v="20"/>
    <s v="Resistant"/>
  </r>
  <r>
    <x v="0"/>
    <x v="8"/>
    <x v="2"/>
    <n v="0"/>
    <x v="2"/>
    <n v="18"/>
    <x v="0"/>
    <n v="10"/>
    <x v="2"/>
    <n v="22"/>
    <s v="Intermediate"/>
  </r>
  <r>
    <x v="0"/>
    <x v="11"/>
    <x v="1"/>
    <n v="18"/>
    <x v="0"/>
    <n v="15"/>
    <x v="0"/>
    <n v="12"/>
    <x v="2"/>
    <n v="25"/>
    <s v="Intermediate"/>
  </r>
  <r>
    <x v="0"/>
    <x v="2"/>
    <x v="1"/>
    <n v="0"/>
    <x v="2"/>
    <n v="12"/>
    <x v="1"/>
    <n v="7"/>
    <x v="2"/>
    <n v="10"/>
    <s v="Resistant"/>
  </r>
  <r>
    <x v="0"/>
    <x v="2"/>
    <x v="1"/>
    <n v="20"/>
    <x v="0"/>
    <n v="19"/>
    <x v="0"/>
    <n v="15"/>
    <x v="0"/>
    <n v="25"/>
    <s v="Intermediate"/>
  </r>
  <r>
    <x v="1"/>
    <x v="0"/>
    <x v="0"/>
    <n v="10"/>
    <x v="2"/>
    <n v="19"/>
    <x v="0"/>
    <n v="23"/>
    <x v="1"/>
    <n v="25"/>
    <s v="Intermediate"/>
  </r>
  <r>
    <x v="1"/>
    <x v="12"/>
    <x v="0"/>
    <n v="10"/>
    <x v="2"/>
    <n v="21"/>
    <x v="0"/>
    <n v="24"/>
    <x v="1"/>
    <n v="25"/>
    <s v="Intermediate"/>
  </r>
  <r>
    <x v="1"/>
    <x v="2"/>
    <x v="1"/>
    <n v="0"/>
    <x v="2"/>
    <n v="12"/>
    <x v="1"/>
    <n v="16"/>
    <x v="0"/>
    <n v="21"/>
    <s v="Resistant"/>
  </r>
  <r>
    <x v="1"/>
    <x v="3"/>
    <x v="1"/>
    <n v="0"/>
    <x v="2"/>
    <n v="18"/>
    <x v="0"/>
    <n v="0"/>
    <x v="2"/>
    <n v="20"/>
    <s v="Resistant"/>
  </r>
  <r>
    <x v="1"/>
    <x v="9"/>
    <x v="2"/>
    <n v="9"/>
    <x v="2"/>
    <n v="16"/>
    <x v="0"/>
    <n v="18"/>
    <x v="1"/>
    <n v="22"/>
    <s v="Intermediate"/>
  </r>
  <r>
    <x v="1"/>
    <x v="8"/>
    <x v="2"/>
    <n v="10"/>
    <x v="2"/>
    <n v="19"/>
    <x v="0"/>
    <n v="8"/>
    <x v="2"/>
    <n v="23"/>
    <s v="Intermediate"/>
  </r>
  <r>
    <x v="1"/>
    <x v="3"/>
    <x v="1"/>
    <n v="11"/>
    <x v="2"/>
    <n v="18"/>
    <x v="0"/>
    <n v="19"/>
    <x v="1"/>
    <n v="25"/>
    <s v="Intermediate"/>
  </r>
  <r>
    <x v="1"/>
    <x v="4"/>
    <x v="0"/>
    <n v="0"/>
    <x v="2"/>
    <n v="20"/>
    <x v="0"/>
    <n v="10"/>
    <x v="2"/>
    <n v="0"/>
    <s v="Resistant"/>
  </r>
  <r>
    <x v="1"/>
    <x v="13"/>
    <x v="2"/>
    <n v="8"/>
    <x v="2"/>
    <n v="20"/>
    <x v="0"/>
    <n v="12"/>
    <x v="2"/>
    <n v="0"/>
    <s v="Resistant"/>
  </r>
  <r>
    <x v="1"/>
    <x v="2"/>
    <x v="1"/>
    <n v="0"/>
    <x v="2"/>
    <n v="17"/>
    <x v="0"/>
    <n v="7"/>
    <x v="2"/>
    <n v="22"/>
    <s v="Intermediate"/>
  </r>
  <r>
    <x v="1"/>
    <x v="3"/>
    <x v="1"/>
    <n v="24"/>
    <x v="1"/>
    <n v="11"/>
    <x v="1"/>
    <n v="9"/>
    <x v="2"/>
    <n v="20"/>
    <s v="Resistant"/>
  </r>
  <r>
    <x v="1"/>
    <x v="9"/>
    <x v="2"/>
    <n v="0"/>
    <x v="2"/>
    <n v="0"/>
    <x v="1"/>
    <n v="8"/>
    <x v="2"/>
    <n v="21"/>
    <s v="Resistant"/>
  </r>
  <r>
    <x v="1"/>
    <x v="14"/>
    <x v="2"/>
    <n v="0"/>
    <x v="2"/>
    <n v="0"/>
    <x v="1"/>
    <n v="12"/>
    <x v="2"/>
    <n v="20"/>
    <s v="Resistant"/>
  </r>
  <r>
    <x v="1"/>
    <x v="8"/>
    <x v="2"/>
    <n v="11"/>
    <x v="2"/>
    <n v="20"/>
    <x v="0"/>
    <n v="15"/>
    <x v="0"/>
    <n v="24"/>
    <s v="Intermediate"/>
  </r>
  <r>
    <x v="1"/>
    <x v="12"/>
    <x v="0"/>
    <n v="11"/>
    <x v="2"/>
    <n v="21"/>
    <x v="0"/>
    <n v="10"/>
    <x v="2"/>
    <n v="23"/>
    <s v="Intermediate"/>
  </r>
  <r>
    <x v="1"/>
    <x v="15"/>
    <x v="2"/>
    <n v="0"/>
    <x v="2"/>
    <n v="20"/>
    <x v="0"/>
    <n v="0"/>
    <x v="2"/>
    <n v="28"/>
    <s v="Sensitive"/>
  </r>
  <r>
    <x v="1"/>
    <x v="11"/>
    <x v="1"/>
    <n v="0"/>
    <x v="2"/>
    <n v="0"/>
    <x v="1"/>
    <n v="20"/>
    <x v="1"/>
    <n v="22"/>
    <s v="Intermediate"/>
  </r>
  <r>
    <x v="1"/>
    <x v="2"/>
    <x v="1"/>
    <n v="10"/>
    <x v="2"/>
    <n v="18"/>
    <x v="0"/>
    <n v="0"/>
    <x v="2"/>
    <n v="22"/>
    <s v="Intermediate"/>
  </r>
  <r>
    <x v="2"/>
    <x v="16"/>
    <x v="0"/>
    <n v="0"/>
    <x v="2"/>
    <n v="18"/>
    <x v="0"/>
    <n v="7"/>
    <x v="2"/>
    <n v="25"/>
    <s v="Intermediate"/>
  </r>
  <r>
    <x v="2"/>
    <x v="15"/>
    <x v="2"/>
    <n v="0"/>
    <x v="2"/>
    <n v="0"/>
    <x v="1"/>
    <n v="0"/>
    <x v="2"/>
    <n v="24"/>
    <s v="Intermediate"/>
  </r>
  <r>
    <x v="2"/>
    <x v="0"/>
    <x v="0"/>
    <n v="9"/>
    <x v="2"/>
    <n v="19"/>
    <x v="0"/>
    <n v="20"/>
    <x v="1"/>
    <n v="25"/>
    <s v="Intermediate"/>
  </r>
  <r>
    <x v="2"/>
    <x v="6"/>
    <x v="0"/>
    <n v="0"/>
    <x v="2"/>
    <n v="19"/>
    <x v="0"/>
    <n v="9"/>
    <x v="2"/>
    <n v="23"/>
    <s v="Intermediate"/>
  </r>
  <r>
    <x v="2"/>
    <x v="12"/>
    <x v="0"/>
    <n v="11"/>
    <x v="2"/>
    <n v="19"/>
    <x v="0"/>
    <n v="20"/>
    <x v="1"/>
    <n v="21"/>
    <s v="Resistant"/>
  </r>
  <r>
    <x v="2"/>
    <x v="17"/>
    <x v="0"/>
    <n v="0"/>
    <x v="2"/>
    <n v="20"/>
    <x v="0"/>
    <n v="15"/>
    <x v="0"/>
    <n v="20"/>
    <s v="Resistant"/>
  </r>
  <r>
    <x v="2"/>
    <x v="1"/>
    <x v="0"/>
    <n v="0"/>
    <x v="2"/>
    <n v="24"/>
    <x v="0"/>
    <n v="25"/>
    <x v="1"/>
    <n v="20"/>
    <s v="Resistant"/>
  </r>
  <r>
    <x v="2"/>
    <x v="17"/>
    <x v="0"/>
    <n v="12"/>
    <x v="2"/>
    <n v="25"/>
    <x v="0"/>
    <n v="28"/>
    <x v="1"/>
    <n v="25"/>
    <s v="Intermediate"/>
  </r>
  <r>
    <x v="2"/>
    <x v="3"/>
    <x v="1"/>
    <n v="22"/>
    <x v="1"/>
    <n v="18"/>
    <x v="0"/>
    <n v="0"/>
    <x v="2"/>
    <n v="28"/>
    <s v="Sensitive"/>
  </r>
  <r>
    <x v="2"/>
    <x v="6"/>
    <x v="0"/>
    <n v="12"/>
    <x v="2"/>
    <n v="15"/>
    <x v="0"/>
    <n v="15"/>
    <x v="0"/>
    <n v="0"/>
    <s v="Resistant"/>
  </r>
  <r>
    <x v="2"/>
    <x v="14"/>
    <x v="2"/>
    <n v="0"/>
    <x v="2"/>
    <n v="6"/>
    <x v="1"/>
    <n v="17"/>
    <x v="0"/>
    <n v="12"/>
    <s v="Resistant"/>
  </r>
  <r>
    <x v="2"/>
    <x v="2"/>
    <x v="1"/>
    <n v="20"/>
    <x v="0"/>
    <n v="20"/>
    <x v="0"/>
    <n v="16"/>
    <x v="0"/>
    <n v="0"/>
    <s v="Resistant"/>
  </r>
  <r>
    <x v="2"/>
    <x v="17"/>
    <x v="0"/>
    <n v="0"/>
    <x v="2"/>
    <n v="24"/>
    <x v="0"/>
    <n v="28"/>
    <x v="1"/>
    <n v="29"/>
    <s v="Sensitive"/>
  </r>
  <r>
    <x v="2"/>
    <x v="0"/>
    <x v="0"/>
    <n v="0"/>
    <x v="2"/>
    <n v="20"/>
    <x v="0"/>
    <n v="16"/>
    <x v="0"/>
    <n v="20"/>
    <s v="Resistant"/>
  </r>
  <r>
    <x v="2"/>
    <x v="1"/>
    <x v="0"/>
    <n v="0"/>
    <x v="2"/>
    <n v="20"/>
    <x v="0"/>
    <n v="16"/>
    <x v="0"/>
    <n v="26"/>
    <s v="Sensitive"/>
  </r>
  <r>
    <x v="2"/>
    <x v="0"/>
    <x v="0"/>
    <n v="20"/>
    <x v="0"/>
    <n v="17"/>
    <x v="0"/>
    <n v="15"/>
    <x v="0"/>
    <n v="25"/>
    <s v="Intermediate"/>
  </r>
  <r>
    <x v="2"/>
    <x v="0"/>
    <x v="0"/>
    <n v="24"/>
    <x v="1"/>
    <n v="16"/>
    <x v="0"/>
    <n v="20"/>
    <x v="1"/>
    <n v="25"/>
    <s v="Intermediate"/>
  </r>
  <r>
    <x v="2"/>
    <x v="3"/>
    <x v="1"/>
    <n v="0"/>
    <x v="2"/>
    <n v="16"/>
    <x v="0"/>
    <n v="4"/>
    <x v="2"/>
    <n v="20"/>
    <s v="Resistant"/>
  </r>
  <r>
    <x v="2"/>
    <x v="1"/>
    <x v="0"/>
    <n v="7"/>
    <x v="2"/>
    <n v="20"/>
    <x v="0"/>
    <n v="20"/>
    <x v="1"/>
    <n v="20"/>
    <s v="Resistant"/>
  </r>
  <r>
    <x v="2"/>
    <x v="2"/>
    <x v="1"/>
    <n v="0"/>
    <x v="2"/>
    <n v="20"/>
    <x v="0"/>
    <n v="11"/>
    <x v="2"/>
    <n v="0"/>
    <s v="Resistant"/>
  </r>
  <r>
    <x v="2"/>
    <x v="1"/>
    <x v="0"/>
    <n v="0"/>
    <x v="2"/>
    <n v="20"/>
    <x v="0"/>
    <n v="18"/>
    <x v="1"/>
    <n v="25"/>
    <s v="Intermediate"/>
  </r>
  <r>
    <x v="2"/>
    <x v="1"/>
    <x v="0"/>
    <n v="18"/>
    <x v="0"/>
    <n v="16"/>
    <x v="0"/>
    <n v="25"/>
    <x v="1"/>
    <n v="20"/>
    <s v="Resistant"/>
  </r>
  <r>
    <x v="2"/>
    <x v="17"/>
    <x v="0"/>
    <n v="20"/>
    <x v="0"/>
    <n v="25"/>
    <x v="0"/>
    <n v="25"/>
    <x v="1"/>
    <n v="25"/>
    <s v="Intermediate"/>
  </r>
  <r>
    <x v="2"/>
    <x v="1"/>
    <x v="0"/>
    <n v="0"/>
    <x v="2"/>
    <n v="20"/>
    <x v="0"/>
    <n v="17"/>
    <x v="0"/>
    <n v="25"/>
    <s v="Intermediate"/>
  </r>
  <r>
    <x v="3"/>
    <x v="6"/>
    <x v="0"/>
    <n v="0"/>
    <x v="2"/>
    <n v="16"/>
    <x v="0"/>
    <n v="0"/>
    <x v="2"/>
    <n v="30"/>
    <s v="Sensitive"/>
  </r>
  <r>
    <x v="3"/>
    <x v="12"/>
    <x v="0"/>
    <n v="20"/>
    <x v="0"/>
    <n v="10"/>
    <x v="1"/>
    <n v="9"/>
    <x v="2"/>
    <n v="23"/>
    <s v="Intermediate"/>
  </r>
  <r>
    <x v="3"/>
    <x v="11"/>
    <x v="1"/>
    <n v="0"/>
    <x v="2"/>
    <n v="15"/>
    <x v="0"/>
    <n v="0"/>
    <x v="2"/>
    <n v="22"/>
    <s v="Intermediate"/>
  </r>
  <r>
    <x v="3"/>
    <x v="3"/>
    <x v="1"/>
    <n v="12"/>
    <x v="2"/>
    <n v="17"/>
    <x v="0"/>
    <n v="0"/>
    <x v="2"/>
    <n v="19"/>
    <s v="Resistant"/>
  </r>
  <r>
    <x v="3"/>
    <x v="2"/>
    <x v="1"/>
    <n v="0"/>
    <x v="2"/>
    <n v="15"/>
    <x v="0"/>
    <n v="0"/>
    <x v="2"/>
    <n v="20"/>
    <s v="Resistant"/>
  </r>
  <r>
    <x v="3"/>
    <x v="14"/>
    <x v="2"/>
    <n v="0"/>
    <x v="2"/>
    <n v="15"/>
    <x v="0"/>
    <n v="0"/>
    <x v="2"/>
    <n v="12"/>
    <s v="Resistant"/>
  </r>
  <r>
    <x v="3"/>
    <x v="8"/>
    <x v="2"/>
    <n v="24"/>
    <x v="1"/>
    <n v="13"/>
    <x v="2"/>
    <n v="9"/>
    <x v="2"/>
    <n v="32"/>
    <s v="Sensitive"/>
  </r>
  <r>
    <x v="3"/>
    <x v="5"/>
    <x v="0"/>
    <n v="0"/>
    <x v="2"/>
    <n v="15"/>
    <x v="0"/>
    <n v="0"/>
    <x v="2"/>
    <n v="10"/>
    <s v="Resistant"/>
  </r>
  <r>
    <x v="3"/>
    <x v="3"/>
    <x v="1"/>
    <n v="18"/>
    <x v="0"/>
    <n v="15"/>
    <x v="0"/>
    <n v="0"/>
    <x v="2"/>
    <n v="25"/>
    <s v="Intermediate"/>
  </r>
  <r>
    <x v="3"/>
    <x v="14"/>
    <x v="2"/>
    <n v="12"/>
    <x v="2"/>
    <n v="15"/>
    <x v="0"/>
    <n v="0"/>
    <x v="2"/>
    <n v="21"/>
    <s v="Resistant"/>
  </r>
  <r>
    <x v="3"/>
    <x v="6"/>
    <x v="0"/>
    <n v="11"/>
    <x v="2"/>
    <n v="17"/>
    <x v="0"/>
    <n v="0"/>
    <x v="2"/>
    <n v="21"/>
    <s v="Resistant"/>
  </r>
  <r>
    <x v="3"/>
    <x v="16"/>
    <x v="0"/>
    <n v="12"/>
    <x v="2"/>
    <n v="8"/>
    <x v="1"/>
    <n v="0"/>
    <x v="2"/>
    <n v="22"/>
    <s v="Intermediate"/>
  </r>
  <r>
    <x v="3"/>
    <x v="3"/>
    <x v="1"/>
    <n v="15"/>
    <x v="2"/>
    <n v="9"/>
    <x v="1"/>
    <n v="0"/>
    <x v="2"/>
    <n v="20"/>
    <s v="Resistant"/>
  </r>
  <r>
    <x v="3"/>
    <x v="6"/>
    <x v="0"/>
    <n v="32"/>
    <x v="1"/>
    <n v="22"/>
    <x v="0"/>
    <n v="13"/>
    <x v="2"/>
    <n v="19"/>
    <s v="Resistant"/>
  </r>
  <r>
    <x v="3"/>
    <x v="3"/>
    <x v="1"/>
    <n v="25"/>
    <x v="1"/>
    <n v="18"/>
    <x v="0"/>
    <n v="7"/>
    <x v="2"/>
    <n v="20"/>
    <s v="Resistant"/>
  </r>
  <r>
    <x v="3"/>
    <x v="2"/>
    <x v="1"/>
    <n v="13"/>
    <x v="2"/>
    <n v="0"/>
    <x v="1"/>
    <n v="0"/>
    <x v="2"/>
    <n v="0"/>
    <s v="Resistant"/>
  </r>
  <r>
    <x v="3"/>
    <x v="2"/>
    <x v="1"/>
    <n v="0"/>
    <x v="2"/>
    <n v="8"/>
    <x v="1"/>
    <n v="0"/>
    <x v="2"/>
    <n v="20"/>
    <s v="Resistant"/>
  </r>
  <r>
    <x v="3"/>
    <x v="16"/>
    <x v="0"/>
    <n v="0"/>
    <x v="2"/>
    <n v="15"/>
    <x v="0"/>
    <n v="0"/>
    <x v="2"/>
    <n v="25"/>
    <s v="Intermediate"/>
  </r>
  <r>
    <x v="3"/>
    <x v="0"/>
    <x v="0"/>
    <n v="11"/>
    <x v="2"/>
    <n v="16"/>
    <x v="0"/>
    <n v="0"/>
    <x v="2"/>
    <n v="15"/>
    <s v="Resistant"/>
  </r>
  <r>
    <x v="3"/>
    <x v="16"/>
    <x v="0"/>
    <n v="13"/>
    <x v="2"/>
    <n v="15"/>
    <x v="0"/>
    <n v="0"/>
    <x v="2"/>
    <n v="17"/>
    <s v="Resistant"/>
  </r>
  <r>
    <x v="3"/>
    <x v="5"/>
    <x v="0"/>
    <n v="8"/>
    <x v="2"/>
    <n v="20"/>
    <x v="0"/>
    <n v="12"/>
    <x v="2"/>
    <n v="0"/>
    <s v="Resistant"/>
  </r>
  <r>
    <x v="3"/>
    <x v="0"/>
    <x v="0"/>
    <n v="0"/>
    <x v="2"/>
    <n v="17"/>
    <x v="0"/>
    <n v="0"/>
    <x v="2"/>
    <n v="11"/>
    <s v="Resistant"/>
  </r>
  <r>
    <x v="3"/>
    <x v="0"/>
    <x v="0"/>
    <n v="0"/>
    <x v="2"/>
    <n v="16"/>
    <x v="0"/>
    <n v="0"/>
    <x v="2"/>
    <n v="19"/>
    <s v="Resistant"/>
  </r>
  <r>
    <x v="4"/>
    <x v="16"/>
    <x v="0"/>
    <n v="10"/>
    <x v="2"/>
    <n v="15"/>
    <x v="0"/>
    <n v="0"/>
    <x v="2"/>
    <n v="15"/>
    <s v="Resistant"/>
  </r>
  <r>
    <x v="4"/>
    <x v="2"/>
    <x v="1"/>
    <n v="11"/>
    <x v="2"/>
    <n v="14"/>
    <x v="2"/>
    <n v="0"/>
    <x v="2"/>
    <n v="20"/>
    <s v="Resistant"/>
  </r>
  <r>
    <x v="4"/>
    <x v="2"/>
    <x v="1"/>
    <n v="11"/>
    <x v="2"/>
    <n v="10"/>
    <x v="1"/>
    <n v="0"/>
    <x v="2"/>
    <n v="17"/>
    <s v="Resistant"/>
  </r>
  <r>
    <x v="4"/>
    <x v="2"/>
    <x v="1"/>
    <n v="0"/>
    <x v="2"/>
    <n v="15"/>
    <x v="0"/>
    <n v="0"/>
    <x v="2"/>
    <n v="0"/>
    <s v="Resistant"/>
  </r>
  <r>
    <x v="4"/>
    <x v="2"/>
    <x v="1"/>
    <n v="12"/>
    <x v="2"/>
    <n v="17"/>
    <x v="0"/>
    <n v="0"/>
    <x v="2"/>
    <n v="17"/>
    <s v="Resistant"/>
  </r>
  <r>
    <x v="4"/>
    <x v="16"/>
    <x v="0"/>
    <n v="15"/>
    <x v="2"/>
    <n v="15"/>
    <x v="0"/>
    <n v="0"/>
    <x v="2"/>
    <n v="7"/>
    <s v="Resistant"/>
  </r>
  <r>
    <x v="4"/>
    <x v="0"/>
    <x v="0"/>
    <n v="0"/>
    <x v="2"/>
    <n v="17"/>
    <x v="0"/>
    <n v="7"/>
    <x v="2"/>
    <n v="21"/>
    <s v="Resistant"/>
  </r>
  <r>
    <x v="4"/>
    <x v="1"/>
    <x v="0"/>
    <n v="0"/>
    <x v="2"/>
    <n v="19"/>
    <x v="0"/>
    <n v="15"/>
    <x v="0"/>
    <n v="25"/>
    <s v="Intermediate"/>
  </r>
  <r>
    <x v="4"/>
    <x v="15"/>
    <x v="2"/>
    <n v="0"/>
    <x v="2"/>
    <n v="0"/>
    <x v="1"/>
    <n v="0"/>
    <x v="2"/>
    <n v="24"/>
    <s v="Intermediate"/>
  </r>
  <r>
    <x v="4"/>
    <x v="1"/>
    <x v="0"/>
    <n v="0"/>
    <x v="2"/>
    <n v="15"/>
    <x v="0"/>
    <n v="7"/>
    <x v="2"/>
    <n v="20"/>
    <s v="Resistant"/>
  </r>
  <r>
    <x v="4"/>
    <x v="2"/>
    <x v="1"/>
    <n v="0"/>
    <x v="2"/>
    <n v="16"/>
    <x v="0"/>
    <n v="0"/>
    <x v="2"/>
    <n v="15"/>
    <s v="Resistant"/>
  </r>
  <r>
    <x v="4"/>
    <x v="0"/>
    <x v="0"/>
    <n v="0"/>
    <x v="2"/>
    <n v="20"/>
    <x v="0"/>
    <n v="0"/>
    <x v="2"/>
    <n v="20"/>
    <s v="Resistant"/>
  </r>
  <r>
    <x v="4"/>
    <x v="2"/>
    <x v="1"/>
    <n v="0"/>
    <x v="2"/>
    <n v="19"/>
    <x v="0"/>
    <n v="0"/>
    <x v="2"/>
    <n v="22"/>
    <s v="Intermediate"/>
  </r>
  <r>
    <x v="4"/>
    <x v="2"/>
    <x v="1"/>
    <n v="0"/>
    <x v="2"/>
    <n v="15"/>
    <x v="0"/>
    <n v="0"/>
    <x v="2"/>
    <n v="20"/>
    <s v="Resistant"/>
  </r>
  <r>
    <x v="4"/>
    <x v="1"/>
    <x v="0"/>
    <n v="7"/>
    <x v="2"/>
    <n v="19"/>
    <x v="0"/>
    <n v="0"/>
    <x v="2"/>
    <n v="22"/>
    <s v="Intermediate"/>
  </r>
  <r>
    <x v="4"/>
    <x v="2"/>
    <x v="1"/>
    <n v="20"/>
    <x v="0"/>
    <n v="10"/>
    <x v="1"/>
    <n v="0"/>
    <x v="2"/>
    <n v="20"/>
    <s v="Resistant"/>
  </r>
  <r>
    <x v="4"/>
    <x v="0"/>
    <x v="0"/>
    <n v="0"/>
    <x v="2"/>
    <n v="28"/>
    <x v="0"/>
    <n v="0"/>
    <x v="2"/>
    <n v="25"/>
    <s v="Intermediate"/>
  </r>
  <r>
    <x v="4"/>
    <x v="2"/>
    <x v="1"/>
    <n v="0"/>
    <x v="2"/>
    <n v="20"/>
    <x v="0"/>
    <n v="0"/>
    <x v="2"/>
    <n v="20"/>
    <s v="Resistant"/>
  </r>
  <r>
    <x v="4"/>
    <x v="1"/>
    <x v="0"/>
    <n v="0"/>
    <x v="2"/>
    <n v="20"/>
    <x v="0"/>
    <n v="20"/>
    <x v="1"/>
    <n v="20"/>
    <s v="Resistant"/>
  </r>
  <r>
    <x v="4"/>
    <x v="0"/>
    <x v="0"/>
    <n v="10"/>
    <x v="2"/>
    <n v="15"/>
    <x v="0"/>
    <n v="0"/>
    <x v="2"/>
    <n v="20"/>
    <s v="Resistant"/>
  </r>
  <r>
    <x v="4"/>
    <x v="0"/>
    <x v="0"/>
    <n v="10"/>
    <x v="2"/>
    <n v="20"/>
    <x v="0"/>
    <n v="22"/>
    <x v="1"/>
    <n v="25"/>
    <s v="Intermediate"/>
  </r>
  <r>
    <x v="4"/>
    <x v="1"/>
    <x v="0"/>
    <n v="0"/>
    <x v="2"/>
    <n v="20"/>
    <x v="0"/>
    <n v="0"/>
    <x v="2"/>
    <n v="22"/>
    <s v="Intermediate"/>
  </r>
  <r>
    <x v="4"/>
    <x v="1"/>
    <x v="0"/>
    <n v="10"/>
    <x v="2"/>
    <n v="20"/>
    <x v="0"/>
    <n v="0"/>
    <x v="2"/>
    <n v="25"/>
    <s v="Intermediate"/>
  </r>
  <r>
    <x v="5"/>
    <x v="0"/>
    <x v="0"/>
    <n v="25"/>
    <x v="1"/>
    <n v="18"/>
    <x v="0"/>
    <n v="15"/>
    <x v="0"/>
    <n v="21"/>
    <s v="Resistant"/>
  </r>
  <r>
    <x v="5"/>
    <x v="0"/>
    <x v="0"/>
    <n v="0"/>
    <x v="2"/>
    <n v="20"/>
    <x v="0"/>
    <n v="7"/>
    <x v="2"/>
    <n v="20"/>
    <s v="Resistant"/>
  </r>
  <r>
    <x v="5"/>
    <x v="18"/>
    <x v="2"/>
    <n v="15"/>
    <x v="2"/>
    <n v="20"/>
    <x v="0"/>
    <n v="7"/>
    <x v="2"/>
    <n v="20"/>
    <s v="Resistant"/>
  </r>
  <r>
    <x v="5"/>
    <x v="6"/>
    <x v="0"/>
    <n v="10"/>
    <x v="2"/>
    <n v="18"/>
    <x v="0"/>
    <n v="10"/>
    <x v="2"/>
    <n v="23"/>
    <s v="Intermediate"/>
  </r>
  <r>
    <x v="5"/>
    <x v="12"/>
    <x v="0"/>
    <n v="20"/>
    <x v="0"/>
    <n v="20"/>
    <x v="0"/>
    <n v="17"/>
    <x v="0"/>
    <n v="25"/>
    <s v="Intermediate"/>
  </r>
  <r>
    <x v="5"/>
    <x v="0"/>
    <x v="0"/>
    <n v="25"/>
    <x v="1"/>
    <n v="20"/>
    <x v="0"/>
    <n v="20"/>
    <x v="1"/>
    <n v="30"/>
    <s v="Sensitive"/>
  </r>
  <r>
    <x v="5"/>
    <x v="19"/>
    <x v="0"/>
    <n v="24"/>
    <x v="1"/>
    <n v="20"/>
    <x v="0"/>
    <n v="10"/>
    <x v="2"/>
    <n v="0"/>
    <s v="Resistant"/>
  </r>
  <r>
    <x v="5"/>
    <x v="20"/>
    <x v="0"/>
    <n v="0"/>
    <x v="2"/>
    <n v="24"/>
    <x v="0"/>
    <n v="18"/>
    <x v="1"/>
    <n v="25"/>
    <s v="Intermediate"/>
  </r>
  <r>
    <x v="5"/>
    <x v="10"/>
    <x v="0"/>
    <n v="10"/>
    <x v="2"/>
    <n v="15"/>
    <x v="0"/>
    <n v="17"/>
    <x v="0"/>
    <n v="25"/>
    <s v="Intermediate"/>
  </r>
  <r>
    <x v="5"/>
    <x v="7"/>
    <x v="0"/>
    <n v="0"/>
    <x v="2"/>
    <n v="25"/>
    <x v="0"/>
    <n v="30"/>
    <x v="1"/>
    <n v="30"/>
    <s v="Sensitive"/>
  </r>
  <r>
    <x v="5"/>
    <x v="21"/>
    <x v="0"/>
    <n v="10"/>
    <x v="2"/>
    <n v="16"/>
    <x v="0"/>
    <n v="20"/>
    <x v="1"/>
    <n v="20"/>
    <s v="Resistant"/>
  </r>
  <r>
    <x v="5"/>
    <x v="20"/>
    <x v="0"/>
    <n v="5"/>
    <x v="2"/>
    <n v="25"/>
    <x v="0"/>
    <n v="17"/>
    <x v="0"/>
    <n v="25"/>
    <s v="Intermediate"/>
  </r>
  <r>
    <x v="5"/>
    <x v="22"/>
    <x v="0"/>
    <n v="0"/>
    <x v="2"/>
    <n v="20"/>
    <x v="0"/>
    <n v="15"/>
    <x v="0"/>
    <n v="20"/>
    <s v="Resistant"/>
  </r>
  <r>
    <x v="5"/>
    <x v="0"/>
    <x v="0"/>
    <n v="10"/>
    <x v="2"/>
    <n v="20"/>
    <x v="0"/>
    <n v="17"/>
    <x v="0"/>
    <n v="17"/>
    <s v="Resistant"/>
  </r>
  <r>
    <x v="5"/>
    <x v="1"/>
    <x v="0"/>
    <n v="10"/>
    <x v="2"/>
    <n v="25"/>
    <x v="0"/>
    <n v="15"/>
    <x v="0"/>
    <n v="25"/>
    <s v="Intermediate"/>
  </r>
  <r>
    <x v="5"/>
    <x v="1"/>
    <x v="0"/>
    <n v="10"/>
    <x v="2"/>
    <n v="25"/>
    <x v="0"/>
    <n v="25"/>
    <x v="1"/>
    <n v="20"/>
    <s v="Resistant"/>
  </r>
  <r>
    <x v="5"/>
    <x v="1"/>
    <x v="0"/>
    <n v="0"/>
    <x v="2"/>
    <n v="25"/>
    <x v="0"/>
    <n v="30"/>
    <x v="1"/>
    <n v="30"/>
    <s v="Sensitive"/>
  </r>
  <r>
    <x v="5"/>
    <x v="0"/>
    <x v="0"/>
    <n v="10"/>
    <x v="2"/>
    <n v="15"/>
    <x v="0"/>
    <n v="15"/>
    <x v="0"/>
    <n v="20"/>
    <s v="Resistant"/>
  </r>
  <r>
    <x v="5"/>
    <x v="1"/>
    <x v="0"/>
    <n v="0"/>
    <x v="2"/>
    <n v="20"/>
    <x v="0"/>
    <n v="12"/>
    <x v="2"/>
    <n v="20"/>
    <s v="Resistant"/>
  </r>
  <r>
    <x v="5"/>
    <x v="7"/>
    <x v="0"/>
    <n v="7"/>
    <x v="2"/>
    <n v="20"/>
    <x v="0"/>
    <n v="20"/>
    <x v="1"/>
    <n v="23"/>
    <s v="Intermediate"/>
  </r>
  <r>
    <x v="5"/>
    <x v="0"/>
    <x v="0"/>
    <n v="0"/>
    <x v="2"/>
    <n v="18"/>
    <x v="0"/>
    <n v="10"/>
    <x v="2"/>
    <n v="20"/>
    <s v="Resistant"/>
  </r>
  <r>
    <x v="5"/>
    <x v="22"/>
    <x v="0"/>
    <n v="10"/>
    <x v="2"/>
    <n v="21"/>
    <x v="0"/>
    <n v="7"/>
    <x v="2"/>
    <n v="20"/>
    <s v="Resistant"/>
  </r>
  <r>
    <x v="5"/>
    <x v="1"/>
    <x v="0"/>
    <n v="12"/>
    <x v="2"/>
    <n v="17"/>
    <x v="0"/>
    <n v="25"/>
    <x v="1"/>
    <n v="15"/>
    <s v="Resistant"/>
  </r>
  <r>
    <x v="6"/>
    <x v="13"/>
    <x v="2"/>
    <n v="23"/>
    <x v="1"/>
    <n v="16"/>
    <x v="0"/>
    <n v="8"/>
    <x v="2"/>
    <n v="11"/>
    <s v="Resistant"/>
  </r>
  <r>
    <x v="6"/>
    <x v="2"/>
    <x v="1"/>
    <n v="8"/>
    <x v="2"/>
    <n v="14"/>
    <x v="2"/>
    <n v="19"/>
    <x v="1"/>
    <n v="22"/>
    <s v="Intermediate"/>
  </r>
  <r>
    <x v="6"/>
    <x v="2"/>
    <x v="1"/>
    <n v="0"/>
    <x v="2"/>
    <n v="10"/>
    <x v="1"/>
    <n v="0"/>
    <x v="2"/>
    <n v="17"/>
    <s v="Resistant"/>
  </r>
  <r>
    <x v="6"/>
    <x v="8"/>
    <x v="2"/>
    <n v="15"/>
    <x v="2"/>
    <n v="15"/>
    <x v="0"/>
    <n v="10"/>
    <x v="2"/>
    <n v="0"/>
    <s v="Resistant"/>
  </r>
  <r>
    <x v="6"/>
    <x v="3"/>
    <x v="1"/>
    <n v="9"/>
    <x v="2"/>
    <n v="13"/>
    <x v="2"/>
    <n v="17"/>
    <x v="0"/>
    <n v="12"/>
    <s v="Resistant"/>
  </r>
  <r>
    <x v="6"/>
    <x v="3"/>
    <x v="1"/>
    <n v="0"/>
    <x v="2"/>
    <n v="13"/>
    <x v="2"/>
    <n v="14"/>
    <x v="0"/>
    <n v="7"/>
    <s v="Resistant"/>
  </r>
  <r>
    <x v="6"/>
    <x v="14"/>
    <x v="2"/>
    <n v="0"/>
    <x v="2"/>
    <n v="8"/>
    <x v="1"/>
    <n v="12"/>
    <x v="2"/>
    <n v="0"/>
    <s v="Resistant"/>
  </r>
  <r>
    <x v="6"/>
    <x v="9"/>
    <x v="2"/>
    <n v="0"/>
    <x v="2"/>
    <n v="7"/>
    <x v="1"/>
    <n v="9"/>
    <x v="2"/>
    <n v="0"/>
    <s v="Resistant"/>
  </r>
  <r>
    <x v="6"/>
    <x v="8"/>
    <x v="2"/>
    <n v="13"/>
    <x v="2"/>
    <n v="7"/>
    <x v="1"/>
    <n v="11"/>
    <x v="2"/>
    <n v="12"/>
    <s v="Resistant"/>
  </r>
  <r>
    <x v="6"/>
    <x v="16"/>
    <x v="0"/>
    <n v="19"/>
    <x v="0"/>
    <n v="18"/>
    <x v="0"/>
    <n v="18"/>
    <x v="1"/>
    <n v="22"/>
    <s v="Intermediate"/>
  </r>
  <r>
    <x v="6"/>
    <x v="16"/>
    <x v="0"/>
    <n v="13"/>
    <x v="2"/>
    <n v="17"/>
    <x v="0"/>
    <n v="0"/>
    <x v="2"/>
    <n v="24"/>
    <s v="Intermediate"/>
  </r>
  <r>
    <x v="6"/>
    <x v="13"/>
    <x v="2"/>
    <n v="0"/>
    <x v="2"/>
    <n v="12"/>
    <x v="1"/>
    <n v="0"/>
    <x v="2"/>
    <n v="20"/>
    <s v="Resistant"/>
  </r>
  <r>
    <x v="6"/>
    <x v="14"/>
    <x v="2"/>
    <n v="8"/>
    <x v="2"/>
    <n v="9"/>
    <x v="1"/>
    <n v="0"/>
    <x v="2"/>
    <n v="0"/>
    <s v="Resistant"/>
  </r>
  <r>
    <x v="6"/>
    <x v="23"/>
    <x v="2"/>
    <n v="0"/>
    <x v="2"/>
    <n v="13"/>
    <x v="2"/>
    <n v="8"/>
    <x v="2"/>
    <n v="0"/>
    <s v="Resistant"/>
  </r>
  <r>
    <x v="6"/>
    <x v="6"/>
    <x v="0"/>
    <n v="11"/>
    <x v="2"/>
    <n v="18"/>
    <x v="0"/>
    <n v="15"/>
    <x v="0"/>
    <n v="21"/>
    <s v="Resistant"/>
  </r>
  <r>
    <x v="6"/>
    <x v="16"/>
    <x v="0"/>
    <n v="12"/>
    <x v="2"/>
    <n v="17"/>
    <x v="0"/>
    <n v="10"/>
    <x v="2"/>
    <n v="25"/>
    <s v="Intermediate"/>
  </r>
  <r>
    <x v="6"/>
    <x v="2"/>
    <x v="1"/>
    <n v="14"/>
    <x v="2"/>
    <n v="16"/>
    <x v="0"/>
    <n v="20"/>
    <x v="1"/>
    <n v="22"/>
    <s v="Intermediate"/>
  </r>
  <r>
    <x v="6"/>
    <x v="6"/>
    <x v="0"/>
    <n v="15"/>
    <x v="2"/>
    <n v="16"/>
    <x v="0"/>
    <n v="12"/>
    <x v="2"/>
    <n v="24"/>
    <s v="Intermediate"/>
  </r>
  <r>
    <x v="6"/>
    <x v="5"/>
    <x v="0"/>
    <n v="25"/>
    <x v="1"/>
    <n v="12"/>
    <x v="1"/>
    <n v="17"/>
    <x v="0"/>
    <n v="25"/>
    <s v="Intermediate"/>
  </r>
  <r>
    <x v="6"/>
    <x v="8"/>
    <x v="2"/>
    <n v="0"/>
    <x v="2"/>
    <n v="10"/>
    <x v="1"/>
    <n v="11"/>
    <x v="2"/>
    <n v="8"/>
    <s v="Resistant"/>
  </r>
  <r>
    <x v="6"/>
    <x v="11"/>
    <x v="1"/>
    <n v="20"/>
    <x v="0"/>
    <n v="15"/>
    <x v="0"/>
    <n v="0"/>
    <x v="2"/>
    <n v="26"/>
    <s v="Sensitive"/>
  </r>
  <r>
    <x v="6"/>
    <x v="11"/>
    <x v="1"/>
    <n v="0"/>
    <x v="2"/>
    <n v="13"/>
    <x v="2"/>
    <n v="0"/>
    <x v="2"/>
    <n v="12"/>
    <s v="Resistant"/>
  </r>
  <r>
    <x v="6"/>
    <x v="2"/>
    <x v="1"/>
    <n v="24"/>
    <x v="1"/>
    <n v="16"/>
    <x v="0"/>
    <n v="0"/>
    <x v="2"/>
    <n v="23"/>
    <s v="Intermediate"/>
  </r>
  <r>
    <x v="6"/>
    <x v="11"/>
    <x v="1"/>
    <n v="0"/>
    <x v="2"/>
    <n v="19"/>
    <x v="0"/>
    <n v="10"/>
    <x v="2"/>
    <n v="12"/>
    <s v="Resistant"/>
  </r>
  <r>
    <x v="6"/>
    <x v="2"/>
    <x v="1"/>
    <n v="18"/>
    <x v="0"/>
    <n v="14"/>
    <x v="2"/>
    <n v="0"/>
    <x v="2"/>
    <n v="20"/>
    <s v="Resistant"/>
  </r>
  <r>
    <x v="6"/>
    <x v="3"/>
    <x v="1"/>
    <n v="24"/>
    <x v="1"/>
    <n v="16"/>
    <x v="0"/>
    <n v="17"/>
    <x v="0"/>
    <n v="22"/>
    <s v="Intermediate"/>
  </r>
  <r>
    <x v="6"/>
    <x v="4"/>
    <x v="0"/>
    <n v="18"/>
    <x v="0"/>
    <n v="21"/>
    <x v="0"/>
    <n v="9"/>
    <x v="2"/>
    <n v="26"/>
    <s v="Sensitive"/>
  </r>
  <r>
    <x v="7"/>
    <x v="2"/>
    <x v="1"/>
    <n v="0"/>
    <x v="2"/>
    <n v="12"/>
    <x v="1"/>
    <n v="14"/>
    <x v="0"/>
    <n v="11"/>
    <s v="Resistant"/>
  </r>
  <r>
    <x v="7"/>
    <x v="2"/>
    <x v="1"/>
    <n v="12"/>
    <x v="2"/>
    <n v="21"/>
    <x v="0"/>
    <n v="15"/>
    <x v="0"/>
    <n v="22"/>
    <s v="Intermediate"/>
  </r>
  <r>
    <x v="7"/>
    <x v="16"/>
    <x v="0"/>
    <n v="20"/>
    <x v="0"/>
    <n v="18"/>
    <x v="0"/>
    <n v="25"/>
    <x v="1"/>
    <n v="17"/>
    <s v="Resistant"/>
  </r>
  <r>
    <x v="7"/>
    <x v="2"/>
    <x v="1"/>
    <n v="0"/>
    <x v="2"/>
    <n v="9"/>
    <x v="1"/>
    <n v="15"/>
    <x v="0"/>
    <n v="9"/>
    <s v="Resistant"/>
  </r>
  <r>
    <x v="7"/>
    <x v="16"/>
    <x v="0"/>
    <n v="12"/>
    <x v="2"/>
    <n v="20"/>
    <x v="0"/>
    <n v="25"/>
    <x v="1"/>
    <n v="28"/>
    <s v="Sensitive"/>
  </r>
  <r>
    <x v="7"/>
    <x v="3"/>
    <x v="1"/>
    <n v="10"/>
    <x v="2"/>
    <n v="18"/>
    <x v="0"/>
    <n v="0"/>
    <x v="2"/>
    <n v="19"/>
    <s v="Resistant"/>
  </r>
  <r>
    <x v="7"/>
    <x v="13"/>
    <x v="2"/>
    <n v="22"/>
    <x v="1"/>
    <n v="19"/>
    <x v="0"/>
    <n v="9"/>
    <x v="2"/>
    <n v="15"/>
    <s v="Resistant"/>
  </r>
  <r>
    <x v="7"/>
    <x v="11"/>
    <x v="1"/>
    <n v="17"/>
    <x v="2"/>
    <n v="16"/>
    <x v="0"/>
    <n v="20"/>
    <x v="1"/>
    <n v="26"/>
    <s v="Sensitive"/>
  </r>
  <r>
    <x v="7"/>
    <x v="11"/>
    <x v="1"/>
    <n v="0"/>
    <x v="2"/>
    <n v="17"/>
    <x v="0"/>
    <n v="7"/>
    <x v="2"/>
    <n v="20"/>
    <s v="Resistant"/>
  </r>
  <r>
    <x v="7"/>
    <x v="3"/>
    <x v="1"/>
    <n v="0"/>
    <x v="2"/>
    <n v="17"/>
    <x v="0"/>
    <n v="13"/>
    <x v="2"/>
    <n v="23"/>
    <s v="Intermediate"/>
  </r>
  <r>
    <x v="7"/>
    <x v="2"/>
    <x v="1"/>
    <n v="13"/>
    <x v="2"/>
    <n v="18"/>
    <x v="0"/>
    <n v="0"/>
    <x v="2"/>
    <n v="22"/>
    <s v="Intermediate"/>
  </r>
  <r>
    <x v="7"/>
    <x v="12"/>
    <x v="0"/>
    <n v="12"/>
    <x v="2"/>
    <n v="21"/>
    <x v="0"/>
    <n v="0"/>
    <x v="2"/>
    <n v="22"/>
    <s v="Intermediate"/>
  </r>
  <r>
    <x v="7"/>
    <x v="14"/>
    <x v="2"/>
    <n v="0"/>
    <x v="2"/>
    <n v="8"/>
    <x v="1"/>
    <n v="0"/>
    <x v="2"/>
    <n v="9"/>
    <s v="Resistant"/>
  </r>
  <r>
    <x v="7"/>
    <x v="11"/>
    <x v="1"/>
    <n v="0"/>
    <x v="2"/>
    <n v="18"/>
    <x v="0"/>
    <n v="12"/>
    <x v="2"/>
    <n v="20"/>
    <s v="Resistant"/>
  </r>
  <r>
    <x v="7"/>
    <x v="3"/>
    <x v="1"/>
    <n v="0"/>
    <x v="2"/>
    <n v="18"/>
    <x v="0"/>
    <n v="19"/>
    <x v="1"/>
    <n v="25"/>
    <s v="Intermediate"/>
  </r>
  <r>
    <x v="7"/>
    <x v="6"/>
    <x v="0"/>
    <n v="16"/>
    <x v="2"/>
    <n v="14"/>
    <x v="2"/>
    <n v="16"/>
    <x v="0"/>
    <n v="24"/>
    <s v="Intermediate"/>
  </r>
  <r>
    <x v="7"/>
    <x v="4"/>
    <x v="0"/>
    <n v="10"/>
    <x v="2"/>
    <n v="21"/>
    <x v="0"/>
    <n v="18"/>
    <x v="1"/>
    <n v="23"/>
    <s v="Intermediate"/>
  </r>
  <r>
    <x v="7"/>
    <x v="9"/>
    <x v="2"/>
    <n v="0"/>
    <x v="2"/>
    <n v="10"/>
    <x v="1"/>
    <n v="11"/>
    <x v="2"/>
    <n v="9"/>
    <s v="Resistant"/>
  </r>
  <r>
    <x v="7"/>
    <x v="24"/>
    <x v="0"/>
    <n v="0"/>
    <x v="2"/>
    <n v="22"/>
    <x v="0"/>
    <n v="15"/>
    <x v="0"/>
    <n v="25"/>
    <s v="Intermediate"/>
  </r>
  <r>
    <x v="7"/>
    <x v="25"/>
    <x v="2"/>
    <n v="0"/>
    <x v="2"/>
    <n v="12"/>
    <x v="1"/>
    <n v="13"/>
    <x v="2"/>
    <n v="0"/>
    <s v="Resistant"/>
  </r>
  <r>
    <x v="8"/>
    <x v="8"/>
    <x v="2"/>
    <n v="17"/>
    <x v="2"/>
    <n v="16"/>
    <x v="0"/>
    <n v="0"/>
    <x v="2"/>
    <n v="22"/>
    <s v="Intermediate"/>
  </r>
  <r>
    <x v="8"/>
    <x v="6"/>
    <x v="0"/>
    <n v="0"/>
    <x v="2"/>
    <n v="9"/>
    <x v="1"/>
    <n v="0"/>
    <x v="2"/>
    <n v="0"/>
    <s v="Resistant"/>
  </r>
  <r>
    <x v="8"/>
    <x v="6"/>
    <x v="0"/>
    <n v="0"/>
    <x v="2"/>
    <n v="8"/>
    <x v="1"/>
    <n v="0"/>
    <x v="2"/>
    <n v="0"/>
    <s v="Resistant"/>
  </r>
  <r>
    <x v="8"/>
    <x v="2"/>
    <x v="1"/>
    <n v="0"/>
    <x v="2"/>
    <n v="10"/>
    <x v="1"/>
    <n v="0"/>
    <x v="2"/>
    <n v="11"/>
    <s v="Resistant"/>
  </r>
  <r>
    <x v="8"/>
    <x v="3"/>
    <x v="1"/>
    <n v="0"/>
    <x v="2"/>
    <n v="22"/>
    <x v="0"/>
    <n v="12"/>
    <x v="2"/>
    <n v="10"/>
    <s v="Resistant"/>
  </r>
  <r>
    <x v="8"/>
    <x v="16"/>
    <x v="0"/>
    <n v="0"/>
    <x v="2"/>
    <n v="16"/>
    <x v="0"/>
    <n v="0"/>
    <x v="2"/>
    <n v="25"/>
    <s v="Intermediate"/>
  </r>
  <r>
    <x v="8"/>
    <x v="11"/>
    <x v="1"/>
    <n v="0"/>
    <x v="2"/>
    <n v="20"/>
    <x v="0"/>
    <n v="11"/>
    <x v="2"/>
    <n v="25"/>
    <s v="Intermediate"/>
  </r>
  <r>
    <x v="8"/>
    <x v="3"/>
    <x v="1"/>
    <n v="0"/>
    <x v="2"/>
    <n v="21"/>
    <x v="0"/>
    <n v="15"/>
    <x v="0"/>
    <n v="0"/>
    <s v="Resistant"/>
  </r>
  <r>
    <x v="8"/>
    <x v="6"/>
    <x v="0"/>
    <n v="18"/>
    <x v="0"/>
    <n v="23"/>
    <x v="0"/>
    <n v="23"/>
    <x v="1"/>
    <n v="24"/>
    <s v="Intermediate"/>
  </r>
  <r>
    <x v="8"/>
    <x v="24"/>
    <x v="0"/>
    <n v="12"/>
    <x v="2"/>
    <n v="27"/>
    <x v="0"/>
    <n v="20"/>
    <x v="1"/>
    <n v="28"/>
    <s v="Sensitive"/>
  </r>
  <r>
    <x v="8"/>
    <x v="2"/>
    <x v="1"/>
    <n v="0"/>
    <x v="2"/>
    <n v="19"/>
    <x v="0"/>
    <n v="14"/>
    <x v="0"/>
    <n v="23"/>
    <s v="Intermediate"/>
  </r>
  <r>
    <x v="8"/>
    <x v="12"/>
    <x v="0"/>
    <n v="0"/>
    <x v="2"/>
    <n v="20"/>
    <x v="0"/>
    <n v="12"/>
    <x v="2"/>
    <n v="13"/>
    <s v="Resistant"/>
  </r>
  <r>
    <x v="8"/>
    <x v="0"/>
    <x v="0"/>
    <n v="0"/>
    <x v="2"/>
    <n v="17"/>
    <x v="0"/>
    <n v="12"/>
    <x v="2"/>
    <n v="21"/>
    <s v="Resistant"/>
  </r>
  <r>
    <x v="8"/>
    <x v="11"/>
    <x v="1"/>
    <n v="0"/>
    <x v="2"/>
    <n v="15"/>
    <x v="0"/>
    <n v="11"/>
    <x v="2"/>
    <n v="12"/>
    <s v="Resistant"/>
  </r>
  <r>
    <x v="8"/>
    <x v="1"/>
    <x v="0"/>
    <n v="0"/>
    <x v="2"/>
    <n v="22"/>
    <x v="0"/>
    <n v="13"/>
    <x v="2"/>
    <n v="26"/>
    <s v="Sensitive"/>
  </r>
  <r>
    <x v="8"/>
    <x v="22"/>
    <x v="0"/>
    <n v="0"/>
    <x v="2"/>
    <n v="19"/>
    <x v="0"/>
    <n v="0"/>
    <x v="2"/>
    <n v="17"/>
    <s v="Resistant"/>
  </r>
  <r>
    <x v="8"/>
    <x v="2"/>
    <x v="1"/>
    <n v="0"/>
    <x v="2"/>
    <n v="19"/>
    <x v="0"/>
    <n v="11"/>
    <x v="2"/>
    <n v="22"/>
    <s v="Intermediate"/>
  </r>
  <r>
    <x v="8"/>
    <x v="0"/>
    <x v="0"/>
    <n v="0"/>
    <x v="2"/>
    <n v="20"/>
    <x v="0"/>
    <n v="7"/>
    <x v="2"/>
    <n v="12"/>
    <s v="Resistant"/>
  </r>
  <r>
    <x v="8"/>
    <x v="1"/>
    <x v="0"/>
    <n v="0"/>
    <x v="2"/>
    <n v="7"/>
    <x v="1"/>
    <n v="0"/>
    <x v="2"/>
    <n v="10"/>
    <s v="Resistant"/>
  </r>
  <r>
    <x v="8"/>
    <x v="2"/>
    <x v="1"/>
    <n v="0"/>
    <x v="2"/>
    <n v="21"/>
    <x v="0"/>
    <n v="13"/>
    <x v="2"/>
    <n v="11"/>
    <s v="Resistant"/>
  </r>
  <r>
    <x v="8"/>
    <x v="3"/>
    <x v="1"/>
    <n v="0"/>
    <x v="2"/>
    <n v="21"/>
    <x v="0"/>
    <n v="12"/>
    <x v="2"/>
    <n v="23"/>
    <s v="Intermediate"/>
  </r>
  <r>
    <x v="8"/>
    <x v="11"/>
    <x v="1"/>
    <n v="0"/>
    <x v="2"/>
    <n v="9"/>
    <x v="1"/>
    <n v="14"/>
    <x v="0"/>
    <n v="0"/>
    <s v="Resistant"/>
  </r>
  <r>
    <x v="9"/>
    <x v="2"/>
    <x v="1"/>
    <n v="21"/>
    <x v="1"/>
    <n v="18"/>
    <x v="0"/>
    <n v="11"/>
    <x v="2"/>
    <n v="22"/>
    <s v="Intermediate"/>
  </r>
  <r>
    <x v="9"/>
    <x v="9"/>
    <x v="2"/>
    <n v="20"/>
    <x v="0"/>
    <n v="27"/>
    <x v="0"/>
    <n v="19"/>
    <x v="1"/>
    <n v="16"/>
    <s v="Resistant"/>
  </r>
  <r>
    <x v="9"/>
    <x v="21"/>
    <x v="0"/>
    <n v="10"/>
    <x v="2"/>
    <n v="23"/>
    <x v="0"/>
    <n v="20"/>
    <x v="1"/>
    <n v="20"/>
    <s v="Resistant"/>
  </r>
  <r>
    <x v="9"/>
    <x v="26"/>
    <x v="0"/>
    <n v="9"/>
    <x v="2"/>
    <n v="16"/>
    <x v="0"/>
    <n v="11"/>
    <x v="2"/>
    <n v="20"/>
    <s v="Resistant"/>
  </r>
  <r>
    <x v="9"/>
    <x v="1"/>
    <x v="0"/>
    <n v="20"/>
    <x v="0"/>
    <n v="28"/>
    <x v="0"/>
    <n v="35"/>
    <x v="1"/>
    <n v="15"/>
    <s v="Resistant"/>
  </r>
  <r>
    <x v="9"/>
    <x v="7"/>
    <x v="0"/>
    <n v="9"/>
    <x v="2"/>
    <n v="16"/>
    <x v="0"/>
    <n v="10"/>
    <x v="2"/>
    <n v="13"/>
    <s v="Resistant"/>
  </r>
  <r>
    <x v="9"/>
    <x v="0"/>
    <x v="0"/>
    <n v="0"/>
    <x v="2"/>
    <n v="22"/>
    <x v="0"/>
    <n v="18"/>
    <x v="1"/>
    <n v="18"/>
    <s v="Resistant"/>
  </r>
  <r>
    <x v="9"/>
    <x v="16"/>
    <x v="0"/>
    <n v="0"/>
    <x v="2"/>
    <n v="20"/>
    <x v="0"/>
    <n v="15"/>
    <x v="0"/>
    <n v="23"/>
    <s v="Intermediate"/>
  </r>
  <r>
    <x v="9"/>
    <x v="3"/>
    <x v="1"/>
    <n v="7"/>
    <x v="2"/>
    <n v="17"/>
    <x v="0"/>
    <n v="12"/>
    <x v="2"/>
    <n v="18"/>
    <s v="Resistant"/>
  </r>
  <r>
    <x v="9"/>
    <x v="6"/>
    <x v="0"/>
    <n v="0"/>
    <x v="2"/>
    <n v="16"/>
    <x v="0"/>
    <n v="15"/>
    <x v="0"/>
    <n v="24"/>
    <s v="Intermediate"/>
  </r>
  <r>
    <x v="9"/>
    <x v="24"/>
    <x v="0"/>
    <n v="7"/>
    <x v="2"/>
    <n v="17"/>
    <x v="0"/>
    <n v="11"/>
    <x v="2"/>
    <n v="13"/>
    <s v="Resistant"/>
  </r>
  <r>
    <x v="9"/>
    <x v="24"/>
    <x v="0"/>
    <n v="21"/>
    <x v="1"/>
    <n v="19"/>
    <x v="0"/>
    <n v="21"/>
    <x v="1"/>
    <n v="25"/>
    <s v="Intermediate"/>
  </r>
  <r>
    <x v="9"/>
    <x v="1"/>
    <x v="0"/>
    <n v="20"/>
    <x v="0"/>
    <n v="18"/>
    <x v="0"/>
    <n v="19"/>
    <x v="1"/>
    <n v="26"/>
    <s v="Sensitive"/>
  </r>
  <r>
    <x v="9"/>
    <x v="21"/>
    <x v="0"/>
    <n v="12"/>
    <x v="2"/>
    <n v="21"/>
    <x v="0"/>
    <n v="20"/>
    <x v="1"/>
    <n v="19"/>
    <s v="Resistant"/>
  </r>
  <r>
    <x v="9"/>
    <x v="10"/>
    <x v="0"/>
    <n v="25"/>
    <x v="1"/>
    <n v="24"/>
    <x v="0"/>
    <n v="31"/>
    <x v="1"/>
    <n v="30"/>
    <s v="Sensitive"/>
  </r>
  <r>
    <x v="9"/>
    <x v="27"/>
    <x v="0"/>
    <n v="15"/>
    <x v="2"/>
    <n v="20"/>
    <x v="0"/>
    <n v="18"/>
    <x v="1"/>
    <n v="22"/>
    <s v="Intermediate"/>
  </r>
  <r>
    <x v="9"/>
    <x v="1"/>
    <x v="0"/>
    <n v="19"/>
    <x v="0"/>
    <n v="20"/>
    <x v="0"/>
    <n v="18"/>
    <x v="1"/>
    <n v="22"/>
    <s v="Intermediate"/>
  </r>
  <r>
    <x v="9"/>
    <x v="10"/>
    <x v="0"/>
    <n v="10"/>
    <x v="2"/>
    <n v="12"/>
    <x v="1"/>
    <n v="9"/>
    <x v="2"/>
    <n v="13"/>
    <s v="Resistant"/>
  </r>
  <r>
    <x v="9"/>
    <x v="1"/>
    <x v="0"/>
    <n v="17"/>
    <x v="2"/>
    <n v="20"/>
    <x v="0"/>
    <n v="25"/>
    <x v="1"/>
    <n v="24"/>
    <s v="Intermediate"/>
  </r>
  <r>
    <x v="9"/>
    <x v="26"/>
    <x v="0"/>
    <n v="17"/>
    <x v="2"/>
    <n v="20"/>
    <x v="0"/>
    <n v="9"/>
    <x v="2"/>
    <n v="23"/>
    <s v="Intermediate"/>
  </r>
  <r>
    <x v="9"/>
    <x v="0"/>
    <x v="0"/>
    <n v="0"/>
    <x v="2"/>
    <n v="18"/>
    <x v="0"/>
    <n v="15"/>
    <x v="0"/>
    <n v="24"/>
    <s v="Intermediate"/>
  </r>
  <r>
    <x v="10"/>
    <x v="4"/>
    <x v="0"/>
    <n v="0"/>
    <x v="2"/>
    <n v="0"/>
    <x v="1"/>
    <n v="10"/>
    <x v="2"/>
    <n v="20"/>
    <s v="Resistant"/>
  </r>
  <r>
    <x v="10"/>
    <x v="0"/>
    <x v="0"/>
    <n v="20"/>
    <x v="0"/>
    <n v="0"/>
    <x v="1"/>
    <n v="10"/>
    <x v="2"/>
    <n v="20"/>
    <s v="Resistant"/>
  </r>
  <r>
    <x v="10"/>
    <x v="22"/>
    <x v="0"/>
    <n v="0"/>
    <x v="2"/>
    <n v="15"/>
    <x v="0"/>
    <n v="10"/>
    <x v="2"/>
    <n v="20"/>
    <s v="Resistant"/>
  </r>
  <r>
    <x v="10"/>
    <x v="6"/>
    <x v="0"/>
    <n v="18"/>
    <x v="0"/>
    <n v="20"/>
    <x v="0"/>
    <n v="0"/>
    <x v="2"/>
    <n v="25"/>
    <s v="Intermediate"/>
  </r>
  <r>
    <x v="10"/>
    <x v="4"/>
    <x v="0"/>
    <n v="20"/>
    <x v="0"/>
    <n v="7"/>
    <x v="1"/>
    <n v="10"/>
    <x v="2"/>
    <n v="0"/>
    <s v="Resistant"/>
  </r>
  <r>
    <x v="10"/>
    <x v="0"/>
    <x v="0"/>
    <n v="0"/>
    <x v="2"/>
    <n v="15"/>
    <x v="0"/>
    <n v="10"/>
    <x v="2"/>
    <n v="20"/>
    <s v="Resistant"/>
  </r>
  <r>
    <x v="10"/>
    <x v="0"/>
    <x v="0"/>
    <n v="0"/>
    <x v="2"/>
    <n v="20"/>
    <x v="0"/>
    <n v="15"/>
    <x v="0"/>
    <n v="20"/>
    <s v="Resistant"/>
  </r>
  <r>
    <x v="10"/>
    <x v="0"/>
    <x v="0"/>
    <n v="0"/>
    <x v="2"/>
    <n v="20"/>
    <x v="0"/>
    <n v="10"/>
    <x v="2"/>
    <n v="0"/>
    <s v="Resistant"/>
  </r>
  <r>
    <x v="10"/>
    <x v="0"/>
    <x v="0"/>
    <n v="12"/>
    <x v="2"/>
    <n v="9"/>
    <x v="1"/>
    <n v="0"/>
    <x v="2"/>
    <n v="0"/>
    <s v="Resistant"/>
  </r>
  <r>
    <x v="10"/>
    <x v="0"/>
    <x v="0"/>
    <n v="20"/>
    <x v="0"/>
    <n v="15"/>
    <x v="0"/>
    <n v="7"/>
    <x v="2"/>
    <n v="20"/>
    <s v="Resistant"/>
  </r>
  <r>
    <x v="10"/>
    <x v="0"/>
    <x v="0"/>
    <n v="0"/>
    <x v="2"/>
    <n v="20"/>
    <x v="0"/>
    <n v="20"/>
    <x v="1"/>
    <n v="20"/>
    <s v="Resistant"/>
  </r>
  <r>
    <x v="10"/>
    <x v="2"/>
    <x v="1"/>
    <n v="0"/>
    <x v="2"/>
    <n v="25"/>
    <x v="0"/>
    <n v="15"/>
    <x v="0"/>
    <n v="22"/>
    <s v="Intermediate"/>
  </r>
  <r>
    <x v="10"/>
    <x v="1"/>
    <x v="0"/>
    <n v="0"/>
    <x v="2"/>
    <n v="20"/>
    <x v="0"/>
    <n v="12"/>
    <x v="2"/>
    <n v="22"/>
    <s v="Intermediate"/>
  </r>
  <r>
    <x v="10"/>
    <x v="0"/>
    <x v="0"/>
    <n v="25"/>
    <x v="1"/>
    <n v="30"/>
    <x v="0"/>
    <n v="10"/>
    <x v="2"/>
    <n v="25"/>
    <s v="Intermediate"/>
  </r>
  <r>
    <x v="10"/>
    <x v="0"/>
    <x v="0"/>
    <n v="0"/>
    <x v="2"/>
    <n v="0"/>
    <x v="1"/>
    <n v="15"/>
    <x v="0"/>
    <n v="10"/>
    <s v="Resistant"/>
  </r>
  <r>
    <x v="10"/>
    <x v="1"/>
    <x v="0"/>
    <n v="0"/>
    <x v="2"/>
    <n v="17"/>
    <x v="0"/>
    <n v="12"/>
    <x v="2"/>
    <n v="28"/>
    <s v="Sensitive"/>
  </r>
  <r>
    <x v="10"/>
    <x v="7"/>
    <x v="0"/>
    <n v="19"/>
    <x v="0"/>
    <n v="25"/>
    <x v="0"/>
    <n v="27"/>
    <x v="1"/>
    <n v="25"/>
    <s v="Intermediate"/>
  </r>
  <r>
    <x v="10"/>
    <x v="22"/>
    <x v="0"/>
    <n v="9"/>
    <x v="2"/>
    <n v="25"/>
    <x v="0"/>
    <n v="10"/>
    <x v="2"/>
    <n v="25"/>
    <s v="Intermediate"/>
  </r>
  <r>
    <x v="10"/>
    <x v="16"/>
    <x v="0"/>
    <n v="0"/>
    <x v="2"/>
    <n v="20"/>
    <x v="0"/>
    <n v="15"/>
    <x v="0"/>
    <n v="23"/>
    <s v="Intermediate"/>
  </r>
  <r>
    <x v="10"/>
    <x v="2"/>
    <x v="1"/>
    <n v="20"/>
    <x v="0"/>
    <n v="18"/>
    <x v="0"/>
    <n v="0"/>
    <x v="2"/>
    <n v="25"/>
    <s v="Intermediate"/>
  </r>
  <r>
    <x v="10"/>
    <x v="2"/>
    <x v="1"/>
    <n v="20"/>
    <x v="0"/>
    <n v="20"/>
    <x v="0"/>
    <n v="0"/>
    <x v="2"/>
    <n v="28"/>
    <s v="Sensitive"/>
  </r>
  <r>
    <x v="11"/>
    <x v="2"/>
    <x v="1"/>
    <n v="0"/>
    <x v="2"/>
    <n v="18"/>
    <x v="0"/>
    <n v="7"/>
    <x v="2"/>
    <n v="28"/>
    <s v="Sensitive"/>
  </r>
  <r>
    <x v="11"/>
    <x v="5"/>
    <x v="0"/>
    <n v="0"/>
    <x v="2"/>
    <n v="20"/>
    <x v="0"/>
    <n v="7"/>
    <x v="2"/>
    <n v="23"/>
    <s v="Intermediate"/>
  </r>
  <r>
    <x v="11"/>
    <x v="22"/>
    <x v="0"/>
    <n v="7"/>
    <x v="2"/>
    <n v="19"/>
    <x v="0"/>
    <n v="11"/>
    <x v="2"/>
    <n v="20"/>
    <s v="Resistant"/>
  </r>
  <r>
    <x v="11"/>
    <x v="24"/>
    <x v="0"/>
    <n v="0"/>
    <x v="2"/>
    <n v="23"/>
    <x v="0"/>
    <n v="13"/>
    <x v="2"/>
    <n v="23"/>
    <s v="Intermediate"/>
  </r>
  <r>
    <x v="11"/>
    <x v="5"/>
    <x v="0"/>
    <n v="7"/>
    <x v="2"/>
    <n v="19"/>
    <x v="0"/>
    <n v="10"/>
    <x v="2"/>
    <n v="0"/>
    <s v="Resistant"/>
  </r>
  <r>
    <x v="11"/>
    <x v="7"/>
    <x v="0"/>
    <n v="0"/>
    <x v="2"/>
    <n v="13"/>
    <x v="2"/>
    <n v="12"/>
    <x v="2"/>
    <n v="20"/>
    <s v="Resistant"/>
  </r>
  <r>
    <x v="11"/>
    <x v="2"/>
    <x v="1"/>
    <n v="25"/>
    <x v="1"/>
    <n v="18"/>
    <x v="0"/>
    <n v="0"/>
    <x v="2"/>
    <n v="23"/>
    <s v="Intermediate"/>
  </r>
  <r>
    <x v="11"/>
    <x v="8"/>
    <x v="2"/>
    <n v="0"/>
    <x v="2"/>
    <n v="17"/>
    <x v="0"/>
    <n v="11"/>
    <x v="2"/>
    <n v="25"/>
    <s v="Intermediate"/>
  </r>
  <r>
    <x v="11"/>
    <x v="14"/>
    <x v="2"/>
    <n v="0"/>
    <x v="2"/>
    <n v="17"/>
    <x v="0"/>
    <n v="15"/>
    <x v="0"/>
    <n v="20"/>
    <s v="Resistant"/>
  </r>
  <r>
    <x v="11"/>
    <x v="2"/>
    <x v="1"/>
    <n v="19"/>
    <x v="0"/>
    <n v="15"/>
    <x v="0"/>
    <n v="15"/>
    <x v="0"/>
    <n v="22"/>
    <s v="Intermediate"/>
  </r>
  <r>
    <x v="11"/>
    <x v="2"/>
    <x v="1"/>
    <n v="10"/>
    <x v="2"/>
    <n v="20"/>
    <x v="0"/>
    <n v="17"/>
    <x v="0"/>
    <n v="30"/>
    <s v="Sensitive"/>
  </r>
  <r>
    <x v="11"/>
    <x v="1"/>
    <x v="0"/>
    <n v="0"/>
    <x v="2"/>
    <n v="15"/>
    <x v="0"/>
    <n v="15"/>
    <x v="0"/>
    <n v="13"/>
    <s v="Resistant"/>
  </r>
  <r>
    <x v="11"/>
    <x v="2"/>
    <x v="1"/>
    <n v="25"/>
    <x v="1"/>
    <n v="15"/>
    <x v="0"/>
    <n v="12"/>
    <x v="2"/>
    <n v="25"/>
    <s v="Intermediate"/>
  </r>
  <r>
    <x v="11"/>
    <x v="27"/>
    <x v="0"/>
    <n v="0"/>
    <x v="2"/>
    <n v="20"/>
    <x v="0"/>
    <n v="15"/>
    <x v="0"/>
    <n v="20"/>
    <s v="Resistant"/>
  </r>
  <r>
    <x v="11"/>
    <x v="0"/>
    <x v="0"/>
    <n v="0"/>
    <x v="2"/>
    <n v="20"/>
    <x v="0"/>
    <n v="15"/>
    <x v="0"/>
    <n v="19"/>
    <s v="Resistant"/>
  </r>
  <r>
    <x v="11"/>
    <x v="0"/>
    <x v="0"/>
    <n v="7"/>
    <x v="2"/>
    <n v="18"/>
    <x v="0"/>
    <n v="15"/>
    <x v="0"/>
    <n v="27"/>
    <s v="Sensitive"/>
  </r>
  <r>
    <x v="11"/>
    <x v="24"/>
    <x v="0"/>
    <n v="0"/>
    <x v="2"/>
    <n v="0"/>
    <x v="1"/>
    <n v="12"/>
    <x v="2"/>
    <n v="25"/>
    <s v="Intermediate"/>
  </r>
  <r>
    <x v="11"/>
    <x v="1"/>
    <x v="0"/>
    <n v="0"/>
    <x v="2"/>
    <n v="20"/>
    <x v="0"/>
    <n v="12"/>
    <x v="2"/>
    <n v="23"/>
    <s v="Intermediate"/>
  </r>
  <r>
    <x v="11"/>
    <x v="16"/>
    <x v="0"/>
    <n v="30"/>
    <x v="1"/>
    <n v="20"/>
    <x v="0"/>
    <n v="12"/>
    <x v="2"/>
    <n v="35"/>
    <s v="Sensitive"/>
  </r>
  <r>
    <x v="11"/>
    <x v="11"/>
    <x v="1"/>
    <n v="0"/>
    <x v="2"/>
    <n v="18"/>
    <x v="0"/>
    <n v="12"/>
    <x v="2"/>
    <n v="20"/>
    <s v="Resistant"/>
  </r>
  <r>
    <x v="11"/>
    <x v="6"/>
    <x v="0"/>
    <n v="0"/>
    <x v="2"/>
    <n v="22"/>
    <x v="0"/>
    <n v="11"/>
    <x v="2"/>
    <n v="23"/>
    <s v="Intermedi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n v="25"/>
    <s v="Sensitive"/>
    <n v="20"/>
    <s v="Intermediate"/>
    <n v="20"/>
    <s v="Sensitive"/>
    <n v="15"/>
    <s v="Intermediate"/>
    <n v="28"/>
    <s v="Sensitive"/>
    <n v="0"/>
    <x v="0"/>
  </r>
  <r>
    <x v="0"/>
    <x v="0"/>
    <x v="0"/>
    <n v="25"/>
    <s v="Sensitive"/>
    <n v="25"/>
    <s v="Sensitive"/>
    <n v="20"/>
    <s v="Sensitive"/>
    <n v="20"/>
    <s v="Sensitive"/>
    <n v="30"/>
    <s v="Sensitive"/>
    <n v="0"/>
    <x v="0"/>
  </r>
  <r>
    <x v="0"/>
    <x v="0"/>
    <x v="0"/>
    <n v="30"/>
    <s v="Sensitive"/>
    <n v="10"/>
    <s v="Resistant"/>
    <n v="20"/>
    <s v="Sensitive"/>
    <n v="20"/>
    <s v="Sensitive"/>
    <n v="25"/>
    <s v="Intermediate"/>
    <n v="1"/>
    <x v="0"/>
  </r>
  <r>
    <x v="0"/>
    <x v="0"/>
    <x v="0"/>
    <n v="25"/>
    <s v="Sensitive"/>
    <n v="20"/>
    <s v="Intermediate"/>
    <n v="20"/>
    <s v="Sensitive"/>
    <n v="25"/>
    <s v="Sensitive"/>
    <n v="28"/>
    <s v="Sensitive"/>
    <n v="0"/>
    <x v="0"/>
  </r>
  <r>
    <x v="0"/>
    <x v="0"/>
    <x v="0"/>
    <n v="25"/>
    <s v="Sensitive"/>
    <n v="7"/>
    <s v="Resistant"/>
    <n v="20"/>
    <s v="Sensitive"/>
    <n v="20"/>
    <s v="Sensitive"/>
    <n v="22"/>
    <s v="Intermediate"/>
    <n v="1"/>
    <x v="0"/>
  </r>
  <r>
    <x v="0"/>
    <x v="0"/>
    <x v="0"/>
    <n v="25"/>
    <s v="Sensitive"/>
    <n v="0"/>
    <s v="Resistant"/>
    <n v="15"/>
    <s v="Sensitive"/>
    <n v="15"/>
    <s v="Intermediate"/>
    <n v="25"/>
    <s v="Intermediate"/>
    <n v="1"/>
    <x v="0"/>
  </r>
  <r>
    <x v="0"/>
    <x v="0"/>
    <x v="0"/>
    <n v="20"/>
    <s v="Intermediate"/>
    <n v="0"/>
    <s v="Resistant"/>
    <n v="22"/>
    <s v="Sensitive"/>
    <n v="10"/>
    <s v="Resistant"/>
    <n v="22"/>
    <s v="Intermediate"/>
    <n v="2"/>
    <x v="0"/>
  </r>
  <r>
    <x v="0"/>
    <x v="0"/>
    <x v="0"/>
    <n v="25"/>
    <s v="Sensitive"/>
    <n v="25"/>
    <s v="Sensitive"/>
    <n v="18"/>
    <s v="Sensitive"/>
    <n v="18"/>
    <s v="Sensitive"/>
    <n v="22"/>
    <s v="Intermediate"/>
    <n v="0"/>
    <x v="0"/>
  </r>
  <r>
    <x v="0"/>
    <x v="0"/>
    <x v="0"/>
    <n v="22"/>
    <s v="Intermediate"/>
    <n v="0"/>
    <s v="Resistant"/>
    <n v="12"/>
    <s v="Resistant"/>
    <n v="12"/>
    <s v="Resistant"/>
    <n v="22"/>
    <s v="Intermediate"/>
    <n v="3"/>
    <x v="1"/>
  </r>
  <r>
    <x v="0"/>
    <x v="0"/>
    <x v="0"/>
    <n v="20"/>
    <s v="Intermediate"/>
    <n v="0"/>
    <s v="Resistant"/>
    <n v="10"/>
    <s v="Resistant"/>
    <n v="10"/>
    <s v="Resistant"/>
    <n v="22"/>
    <s v="Intermediate"/>
    <n v="3"/>
    <x v="1"/>
  </r>
  <r>
    <x v="0"/>
    <x v="0"/>
    <x v="0"/>
    <n v="28"/>
    <s v="Sensitive"/>
    <n v="20"/>
    <s v="Intermediate"/>
    <n v="18"/>
    <s v="Sensitive"/>
    <n v="20"/>
    <s v="Sensitive"/>
    <n v="25"/>
    <s v="Intermediate"/>
    <n v="0"/>
    <x v="0"/>
  </r>
  <r>
    <x v="0"/>
    <x v="0"/>
    <x v="0"/>
    <n v="27"/>
    <s v="Sensitive"/>
    <n v="27"/>
    <s v="Sensitive"/>
    <n v="20"/>
    <s v="Sensitive"/>
    <n v="20"/>
    <s v="Sensitive"/>
    <n v="28"/>
    <s v="Sensitive"/>
    <n v="0"/>
    <x v="0"/>
  </r>
  <r>
    <x v="0"/>
    <x v="0"/>
    <x v="0"/>
    <n v="22"/>
    <s v="Intermediate"/>
    <n v="12"/>
    <s v="Resistant"/>
    <n v="0"/>
    <s v="Resistant"/>
    <n v="8"/>
    <s v="Resistant"/>
    <n v="0"/>
    <s v="Resistant"/>
    <n v="4"/>
    <x v="2"/>
  </r>
  <r>
    <x v="0"/>
    <x v="0"/>
    <x v="0"/>
    <n v="22"/>
    <s v="Intermediate"/>
    <n v="0"/>
    <s v="Resistant"/>
    <n v="20"/>
    <s v="Sensitive"/>
    <n v="20"/>
    <s v="Sensitive"/>
    <n v="20"/>
    <s v="Resistant"/>
    <n v="2"/>
    <x v="0"/>
  </r>
  <r>
    <x v="0"/>
    <x v="0"/>
    <x v="0"/>
    <n v="24"/>
    <s v="Sensitive"/>
    <n v="15"/>
    <s v="Resistant"/>
    <n v="25"/>
    <s v="Sensitive"/>
    <n v="25"/>
    <s v="Sensitive"/>
    <n v="20"/>
    <s v="Resistant"/>
    <n v="2"/>
    <x v="0"/>
  </r>
  <r>
    <x v="0"/>
    <x v="0"/>
    <x v="0"/>
    <n v="35"/>
    <s v="Sensitive"/>
    <n v="20"/>
    <s v="Intermediate"/>
    <n v="25"/>
    <s v="Sensitive"/>
    <n v="25"/>
    <s v="Sensitive"/>
    <n v="30"/>
    <s v="Sensitive"/>
    <n v="0"/>
    <x v="0"/>
  </r>
  <r>
    <x v="0"/>
    <x v="0"/>
    <x v="0"/>
    <n v="27"/>
    <s v="Sensitive"/>
    <n v="27"/>
    <s v="Sensitive"/>
    <n v="20"/>
    <s v="Sensitive"/>
    <n v="20"/>
    <s v="Sensitive"/>
    <n v="0"/>
    <s v="Resistant"/>
    <n v="1"/>
    <x v="0"/>
  </r>
  <r>
    <x v="0"/>
    <x v="0"/>
    <x v="0"/>
    <n v="20"/>
    <s v="Intermediate"/>
    <n v="22"/>
    <s v="Sensitive"/>
    <n v="0"/>
    <s v="Resistant"/>
    <n v="0"/>
    <s v="Resistant"/>
    <n v="0"/>
    <s v="Resistant"/>
    <n v="3"/>
    <x v="1"/>
  </r>
  <r>
    <x v="0"/>
    <x v="0"/>
    <x v="0"/>
    <n v="25"/>
    <s v="Sensitive"/>
    <n v="25"/>
    <s v="Sensitive"/>
    <n v="13"/>
    <s v="Intermediate"/>
    <n v="20"/>
    <s v="Sensitive"/>
    <n v="22"/>
    <s v="Intermediate"/>
    <n v="0"/>
    <x v="0"/>
  </r>
  <r>
    <x v="0"/>
    <x v="0"/>
    <x v="0"/>
    <n v="18"/>
    <s v="Resistant"/>
    <n v="27"/>
    <s v="Sensitive"/>
    <n v="20"/>
    <s v="Sensitive"/>
    <n v="0"/>
    <s v="Resistant"/>
    <n v="25"/>
    <s v="Intermediate"/>
    <n v="2"/>
    <x v="0"/>
  </r>
  <r>
    <x v="0"/>
    <x v="0"/>
    <x v="0"/>
    <n v="27"/>
    <s v="Sensitive"/>
    <n v="15"/>
    <s v="Resistant"/>
    <n v="18"/>
    <s v="Sensitive"/>
    <n v="15"/>
    <s v="Intermediate"/>
    <n v="25"/>
    <s v="Intermediate"/>
    <n v="1"/>
    <x v="0"/>
  </r>
  <r>
    <x v="0"/>
    <x v="0"/>
    <x v="0"/>
    <n v="20"/>
    <s v="Intermediate"/>
    <n v="22"/>
    <s v="Sensitive"/>
    <n v="10"/>
    <s v="Resistant"/>
    <n v="20"/>
    <s v="Sensitive"/>
    <n v="22"/>
    <s v="Intermediate"/>
    <n v="1"/>
    <x v="0"/>
  </r>
  <r>
    <x v="0"/>
    <x v="0"/>
    <x v="0"/>
    <n v="16"/>
    <s v="Resistant"/>
    <n v="25"/>
    <s v="Sensitive"/>
    <n v="20"/>
    <s v="Sensitive"/>
    <n v="0"/>
    <s v="Resistant"/>
    <n v="30"/>
    <s v="Sensitive"/>
    <n v="2"/>
    <x v="0"/>
  </r>
  <r>
    <x v="0"/>
    <x v="0"/>
    <x v="0"/>
    <n v="20"/>
    <s v="Intermediate"/>
    <n v="20"/>
    <s v="Intermediate"/>
    <n v="20"/>
    <s v="Sensitive"/>
    <n v="20"/>
    <s v="Sensitive"/>
    <n v="20"/>
    <s v="Resistant"/>
    <n v="1"/>
    <x v="0"/>
  </r>
  <r>
    <x v="0"/>
    <x v="0"/>
    <x v="0"/>
    <n v="20"/>
    <s v="Intermediate"/>
    <n v="10"/>
    <s v="Resistant"/>
    <n v="15"/>
    <s v="Sensitive"/>
    <n v="0"/>
    <s v="Resistant"/>
    <n v="15"/>
    <s v="Resistant"/>
    <n v="3"/>
    <x v="1"/>
  </r>
  <r>
    <x v="0"/>
    <x v="0"/>
    <x v="0"/>
    <n v="30"/>
    <s v="Sensitive"/>
    <n v="15"/>
    <s v="Resistant"/>
    <n v="15"/>
    <s v="Sensitive"/>
    <n v="12"/>
    <s v="Resistant"/>
    <n v="0"/>
    <s v="Resistant"/>
    <n v="3"/>
    <x v="1"/>
  </r>
  <r>
    <x v="0"/>
    <x v="0"/>
    <x v="0"/>
    <n v="37"/>
    <s v="Sensitive"/>
    <n v="15"/>
    <s v="Resistant"/>
    <n v="20"/>
    <s v="Sensitive"/>
    <n v="24"/>
    <s v="Sensitive"/>
    <n v="20"/>
    <s v="Resistant"/>
    <n v="2"/>
    <x v="0"/>
  </r>
  <r>
    <x v="0"/>
    <x v="0"/>
    <x v="0"/>
    <n v="18"/>
    <s v="Resistant"/>
    <n v="0"/>
    <s v="Resistant"/>
    <n v="18"/>
    <s v="Sensitive"/>
    <n v="10"/>
    <s v="Resistant"/>
    <n v="22"/>
    <s v="Intermediate"/>
    <n v="3"/>
    <x v="1"/>
  </r>
  <r>
    <x v="0"/>
    <x v="0"/>
    <x v="0"/>
    <n v="21"/>
    <s v="Intermediate"/>
    <n v="18"/>
    <s v="Intermediate"/>
    <n v="15"/>
    <s v="Sensitive"/>
    <n v="12"/>
    <s v="Resistant"/>
    <n v="25"/>
    <s v="Intermediate"/>
    <n v="1"/>
    <x v="0"/>
  </r>
  <r>
    <x v="0"/>
    <x v="0"/>
    <x v="0"/>
    <n v="20"/>
    <s v="Intermediate"/>
    <n v="0"/>
    <s v="Resistant"/>
    <n v="12"/>
    <s v="Resistant"/>
    <n v="7"/>
    <s v="Resistant"/>
    <n v="10"/>
    <s v="Resistant"/>
    <n v="4"/>
    <x v="2"/>
  </r>
  <r>
    <x v="0"/>
    <x v="0"/>
    <x v="0"/>
    <n v="20"/>
    <s v="Intermediate"/>
    <n v="20"/>
    <s v="Intermediate"/>
    <n v="19"/>
    <s v="Sensitive"/>
    <n v="15"/>
    <s v="Intermediate"/>
    <n v="25"/>
    <s v="Intermediate"/>
    <n v="0"/>
    <x v="0"/>
  </r>
  <r>
    <x v="1"/>
    <x v="0"/>
    <x v="1"/>
    <n v="25"/>
    <s v="Sensitive"/>
    <n v="10"/>
    <s v="Resistant"/>
    <n v="19"/>
    <s v="Sensitive"/>
    <n v="23"/>
    <s v="Sensitive"/>
    <n v="25"/>
    <s v="Intermediate"/>
    <n v="1"/>
    <x v="0"/>
  </r>
  <r>
    <x v="1"/>
    <x v="0"/>
    <x v="1"/>
    <n v="26"/>
    <s v="Sensitive"/>
    <n v="10"/>
    <s v="Resistant"/>
    <n v="21"/>
    <s v="Sensitive"/>
    <n v="24"/>
    <s v="Sensitive"/>
    <n v="25"/>
    <s v="Intermediate"/>
    <n v="1"/>
    <x v="0"/>
  </r>
  <r>
    <x v="1"/>
    <x v="0"/>
    <x v="1"/>
    <n v="20"/>
    <s v="Intermediate"/>
    <n v="0"/>
    <s v="Resistant"/>
    <n v="12"/>
    <s v="Resistant"/>
    <n v="16"/>
    <s v="Intermediate"/>
    <n v="21"/>
    <s v="Resistant"/>
    <n v="3"/>
    <x v="1"/>
  </r>
  <r>
    <x v="1"/>
    <x v="0"/>
    <x v="1"/>
    <n v="22"/>
    <s v="Intermediate"/>
    <n v="0"/>
    <s v="Resistant"/>
    <n v="18"/>
    <s v="Sensitive"/>
    <n v="0"/>
    <s v="Resistant"/>
    <n v="20"/>
    <s v="Resistant"/>
    <n v="3"/>
    <x v="1"/>
  </r>
  <r>
    <x v="1"/>
    <x v="0"/>
    <x v="1"/>
    <n v="16"/>
    <s v="Resistant"/>
    <n v="9"/>
    <s v="Resistant"/>
    <n v="16"/>
    <s v="Sensitive"/>
    <n v="18"/>
    <s v="Sensitive"/>
    <n v="22"/>
    <s v="Intermediate"/>
    <n v="2"/>
    <x v="0"/>
  </r>
  <r>
    <x v="1"/>
    <x v="0"/>
    <x v="1"/>
    <n v="18"/>
    <s v="Resistant"/>
    <n v="10"/>
    <s v="Resistant"/>
    <n v="19"/>
    <s v="Sensitive"/>
    <n v="8"/>
    <s v="Resistant"/>
    <n v="23"/>
    <s v="Intermediate"/>
    <n v="3"/>
    <x v="1"/>
  </r>
  <r>
    <x v="1"/>
    <x v="0"/>
    <x v="1"/>
    <n v="22"/>
    <s v="Intermediate"/>
    <n v="11"/>
    <s v="Resistant"/>
    <n v="18"/>
    <s v="Sensitive"/>
    <n v="19"/>
    <s v="Sensitive"/>
    <n v="25"/>
    <s v="Intermediate"/>
    <n v="1"/>
    <x v="0"/>
  </r>
  <r>
    <x v="1"/>
    <x v="0"/>
    <x v="1"/>
    <n v="28"/>
    <s v="Sensitive"/>
    <n v="0"/>
    <s v="Resistant"/>
    <n v="20"/>
    <s v="Sensitive"/>
    <n v="10"/>
    <s v="Resistant"/>
    <n v="0"/>
    <s v="Resistant"/>
    <n v="3"/>
    <x v="1"/>
  </r>
  <r>
    <x v="1"/>
    <x v="0"/>
    <x v="1"/>
    <n v="19"/>
    <s v="Resistant"/>
    <n v="8"/>
    <s v="Resistant"/>
    <n v="20"/>
    <s v="Sensitive"/>
    <n v="12"/>
    <s v="Resistant"/>
    <n v="0"/>
    <s v="Resistant"/>
    <n v="4"/>
    <x v="2"/>
  </r>
  <r>
    <x v="1"/>
    <x v="0"/>
    <x v="1"/>
    <n v="20"/>
    <s v="Intermediate"/>
    <n v="0"/>
    <s v="Resistant"/>
    <n v="17"/>
    <s v="Sensitive"/>
    <n v="7"/>
    <s v="Resistant"/>
    <n v="22"/>
    <s v="Intermediate"/>
    <n v="2"/>
    <x v="0"/>
  </r>
  <r>
    <x v="1"/>
    <x v="0"/>
    <x v="1"/>
    <n v="22"/>
    <s v="Intermediate"/>
    <n v="24"/>
    <s v="Sensitive"/>
    <n v="11"/>
    <s v="Resistant"/>
    <n v="9"/>
    <s v="Resistant"/>
    <n v="20"/>
    <s v="Resistant"/>
    <n v="3"/>
    <x v="1"/>
  </r>
  <r>
    <x v="1"/>
    <x v="0"/>
    <x v="1"/>
    <n v="16"/>
    <s v="Resistant"/>
    <n v="0"/>
    <s v="Resistant"/>
    <n v="0"/>
    <s v="Resistant"/>
    <n v="8"/>
    <s v="Resistant"/>
    <n v="21"/>
    <s v="Resistant"/>
    <n v="5"/>
    <x v="3"/>
  </r>
  <r>
    <x v="1"/>
    <x v="0"/>
    <x v="1"/>
    <n v="17"/>
    <s v="Resistant"/>
    <n v="0"/>
    <s v="Resistant"/>
    <n v="0"/>
    <s v="Resistant"/>
    <n v="12"/>
    <s v="Resistant"/>
    <n v="20"/>
    <s v="Resistant"/>
    <n v="5"/>
    <x v="3"/>
  </r>
  <r>
    <x v="1"/>
    <x v="0"/>
    <x v="1"/>
    <n v="18"/>
    <s v="Resistant"/>
    <n v="11"/>
    <s v="Resistant"/>
    <n v="20"/>
    <s v="Sensitive"/>
    <n v="15"/>
    <s v="Intermediate"/>
    <n v="24"/>
    <s v="Intermediate"/>
    <n v="2"/>
    <x v="0"/>
  </r>
  <r>
    <x v="1"/>
    <x v="0"/>
    <x v="1"/>
    <n v="26"/>
    <s v="Sensitive"/>
    <n v="11"/>
    <s v="Resistant"/>
    <n v="21"/>
    <s v="Sensitive"/>
    <n v="10"/>
    <s v="Resistant"/>
    <n v="23"/>
    <s v="Intermediate"/>
    <n v="2"/>
    <x v="0"/>
  </r>
  <r>
    <x v="1"/>
    <x v="0"/>
    <x v="1"/>
    <n v="15"/>
    <s v="Resistant"/>
    <n v="0"/>
    <s v="Resistant"/>
    <n v="20"/>
    <s v="Sensitive"/>
    <n v="0"/>
    <s v="Resistant"/>
    <n v="28"/>
    <s v="Sensitive"/>
    <n v="3"/>
    <x v="1"/>
  </r>
  <r>
    <x v="1"/>
    <x v="0"/>
    <x v="1"/>
    <n v="21"/>
    <s v="Intermediate"/>
    <n v="0"/>
    <s v="Resistant"/>
    <n v="0"/>
    <s v="Resistant"/>
    <n v="20"/>
    <s v="Sensitive"/>
    <n v="22"/>
    <s v="Intermediate"/>
    <n v="2"/>
    <x v="0"/>
  </r>
  <r>
    <x v="1"/>
    <x v="0"/>
    <x v="1"/>
    <n v="20"/>
    <s v="Intermediate"/>
    <n v="10"/>
    <s v="Resistant"/>
    <n v="18"/>
    <s v="Sensitive"/>
    <n v="0"/>
    <s v="Resistant"/>
    <n v="22"/>
    <s v="Intermediate"/>
    <n v="2"/>
    <x v="0"/>
  </r>
  <r>
    <x v="2"/>
    <x v="0"/>
    <x v="2"/>
    <n v="23"/>
    <s v="Sensitive"/>
    <n v="0"/>
    <s v="Resistant"/>
    <n v="18"/>
    <s v="Sensitive"/>
    <n v="7"/>
    <s v="Resistant"/>
    <n v="25"/>
    <s v="Intermediate"/>
    <n v="2"/>
    <x v="0"/>
  </r>
  <r>
    <x v="2"/>
    <x v="0"/>
    <x v="2"/>
    <n v="15"/>
    <s v="Resistant"/>
    <n v="0"/>
    <s v="Resistant"/>
    <n v="0"/>
    <s v="Resistant"/>
    <n v="0"/>
    <s v="Resistant"/>
    <n v="24"/>
    <s v="Intermediate"/>
    <n v="4"/>
    <x v="2"/>
  </r>
  <r>
    <x v="2"/>
    <x v="0"/>
    <x v="2"/>
    <n v="25"/>
    <s v="Sensitive"/>
    <n v="9"/>
    <s v="Resistant"/>
    <n v="19"/>
    <s v="Sensitive"/>
    <n v="20"/>
    <s v="Sensitive"/>
    <n v="25"/>
    <s v="Intermediate"/>
    <n v="1"/>
    <x v="0"/>
  </r>
  <r>
    <x v="2"/>
    <x v="0"/>
    <x v="2"/>
    <n v="24"/>
    <s v="Sensitive"/>
    <n v="0"/>
    <s v="Resistant"/>
    <n v="19"/>
    <s v="Sensitive"/>
    <n v="9"/>
    <s v="Resistant"/>
    <n v="23"/>
    <s v="Intermediate"/>
    <n v="2"/>
    <x v="0"/>
  </r>
  <r>
    <x v="2"/>
    <x v="0"/>
    <x v="2"/>
    <n v="26"/>
    <s v="Sensitive"/>
    <n v="11"/>
    <s v="Resistant"/>
    <n v="19"/>
    <s v="Sensitive"/>
    <n v="20"/>
    <s v="Sensitive"/>
    <n v="21"/>
    <s v="Resistant"/>
    <n v="2"/>
    <x v="0"/>
  </r>
  <r>
    <x v="2"/>
    <x v="0"/>
    <x v="2"/>
    <n v="40"/>
    <s v="Sensitive"/>
    <n v="0"/>
    <s v="Resistant"/>
    <n v="20"/>
    <s v="Sensitive"/>
    <n v="15"/>
    <s v="Intermediate"/>
    <n v="20"/>
    <s v="Resistant"/>
    <n v="2"/>
    <x v="0"/>
  </r>
  <r>
    <x v="2"/>
    <x v="0"/>
    <x v="2"/>
    <n v="30"/>
    <s v="Sensitive"/>
    <n v="0"/>
    <s v="Resistant"/>
    <n v="24"/>
    <s v="Sensitive"/>
    <n v="25"/>
    <s v="Sensitive"/>
    <n v="20"/>
    <s v="Resistant"/>
    <n v="2"/>
    <x v="0"/>
  </r>
  <r>
    <x v="2"/>
    <x v="0"/>
    <x v="2"/>
    <n v="40"/>
    <s v="Sensitive"/>
    <n v="12"/>
    <s v="Resistant"/>
    <n v="25"/>
    <s v="Sensitive"/>
    <n v="28"/>
    <s v="Sensitive"/>
    <n v="25"/>
    <s v="Intermediate"/>
    <n v="1"/>
    <x v="0"/>
  </r>
  <r>
    <x v="2"/>
    <x v="0"/>
    <x v="2"/>
    <n v="22"/>
    <s v="Intermediate"/>
    <n v="22"/>
    <s v="Sensitive"/>
    <n v="18"/>
    <s v="Sensitive"/>
    <n v="0"/>
    <s v="Resistant"/>
    <n v="28"/>
    <s v="Sensitive"/>
    <n v="1"/>
    <x v="0"/>
  </r>
  <r>
    <x v="2"/>
    <x v="0"/>
    <x v="2"/>
    <n v="24"/>
    <s v="Sensitive"/>
    <n v="12"/>
    <s v="Resistant"/>
    <n v="15"/>
    <s v="Sensitive"/>
    <n v="15"/>
    <s v="Intermediate"/>
    <n v="0"/>
    <s v="Resistant"/>
    <n v="2"/>
    <x v="0"/>
  </r>
  <r>
    <x v="2"/>
    <x v="0"/>
    <x v="2"/>
    <n v="17"/>
    <s v="Resistant"/>
    <n v="0"/>
    <s v="Resistant"/>
    <n v="6"/>
    <s v="Resistant"/>
    <n v="17"/>
    <s v="Intermediate"/>
    <n v="12"/>
    <s v="Resistant"/>
    <n v="4"/>
    <x v="2"/>
  </r>
  <r>
    <x v="2"/>
    <x v="0"/>
    <x v="2"/>
    <n v="20"/>
    <s v="Intermediate"/>
    <n v="20"/>
    <s v="Intermediate"/>
    <n v="20"/>
    <s v="Sensitive"/>
    <n v="16"/>
    <s v="Intermediate"/>
    <n v="0"/>
    <s v="Resistant"/>
    <n v="1"/>
    <x v="0"/>
  </r>
  <r>
    <x v="2"/>
    <x v="0"/>
    <x v="2"/>
    <n v="40"/>
    <s v="Sensitive"/>
    <n v="0"/>
    <s v="Resistant"/>
    <n v="24"/>
    <s v="Sensitive"/>
    <n v="28"/>
    <s v="Sensitive"/>
    <n v="29"/>
    <s v="Sensitive"/>
    <n v="1"/>
    <x v="0"/>
  </r>
  <r>
    <x v="2"/>
    <x v="0"/>
    <x v="2"/>
    <n v="25"/>
    <s v="Sensitive"/>
    <n v="0"/>
    <s v="Resistant"/>
    <n v="20"/>
    <s v="Sensitive"/>
    <n v="16"/>
    <s v="Intermediate"/>
    <n v="20"/>
    <s v="Resistant"/>
    <n v="2"/>
    <x v="0"/>
  </r>
  <r>
    <x v="2"/>
    <x v="0"/>
    <x v="2"/>
    <n v="30"/>
    <s v="Sensitive"/>
    <n v="0"/>
    <s v="Resistant"/>
    <n v="20"/>
    <s v="Sensitive"/>
    <n v="16"/>
    <s v="Intermediate"/>
    <n v="26"/>
    <s v="Sensitive"/>
    <n v="1"/>
    <x v="0"/>
  </r>
  <r>
    <x v="2"/>
    <x v="0"/>
    <x v="2"/>
    <n v="25"/>
    <s v="Sensitive"/>
    <n v="20"/>
    <s v="Intermediate"/>
    <n v="17"/>
    <s v="Sensitive"/>
    <n v="15"/>
    <s v="Intermediate"/>
    <n v="25"/>
    <s v="Intermediate"/>
    <n v="0"/>
    <x v="0"/>
  </r>
  <r>
    <x v="2"/>
    <x v="0"/>
    <x v="2"/>
    <n v="25"/>
    <s v="Sensitive"/>
    <n v="24"/>
    <s v="Sensitive"/>
    <n v="16"/>
    <s v="Sensitive"/>
    <n v="20"/>
    <s v="Sensitive"/>
    <n v="25"/>
    <s v="Intermediate"/>
    <n v="0"/>
    <x v="0"/>
  </r>
  <r>
    <x v="2"/>
    <x v="0"/>
    <x v="2"/>
    <n v="22"/>
    <s v="Intermediate"/>
    <n v="0"/>
    <s v="Resistant"/>
    <n v="16"/>
    <s v="Sensitive"/>
    <n v="4"/>
    <s v="Resistant"/>
    <n v="20"/>
    <s v="Resistant"/>
    <n v="3"/>
    <x v="1"/>
  </r>
  <r>
    <x v="2"/>
    <x v="0"/>
    <x v="2"/>
    <n v="30"/>
    <s v="Sensitive"/>
    <n v="7"/>
    <s v="Resistant"/>
    <n v="20"/>
    <s v="Sensitive"/>
    <n v="20"/>
    <s v="Sensitive"/>
    <n v="20"/>
    <s v="Resistant"/>
    <n v="2"/>
    <x v="0"/>
  </r>
  <r>
    <x v="2"/>
    <x v="0"/>
    <x v="2"/>
    <n v="20"/>
    <s v="Intermediate"/>
    <n v="0"/>
    <s v="Resistant"/>
    <n v="20"/>
    <s v="Sensitive"/>
    <n v="11"/>
    <s v="Resistant"/>
    <n v="0"/>
    <s v="Resistant"/>
    <n v="3"/>
    <x v="1"/>
  </r>
  <r>
    <x v="2"/>
    <x v="0"/>
    <x v="2"/>
    <n v="30"/>
    <s v="Sensitive"/>
    <n v="0"/>
    <s v="Resistant"/>
    <n v="20"/>
    <s v="Sensitive"/>
    <n v="18"/>
    <s v="Sensitive"/>
    <n v="25"/>
    <s v="Intermediate"/>
    <n v="1"/>
    <x v="0"/>
  </r>
  <r>
    <x v="2"/>
    <x v="0"/>
    <x v="2"/>
    <n v="30"/>
    <s v="Sensitive"/>
    <n v="18"/>
    <s v="Intermediate"/>
    <n v="16"/>
    <s v="Sensitive"/>
    <n v="25"/>
    <s v="Sensitive"/>
    <n v="20"/>
    <s v="Resistant"/>
    <n v="1"/>
    <x v="0"/>
  </r>
  <r>
    <x v="2"/>
    <x v="0"/>
    <x v="2"/>
    <n v="40"/>
    <s v="Sensitive"/>
    <n v="20"/>
    <s v="Intermediate"/>
    <n v="25"/>
    <s v="Sensitive"/>
    <n v="25"/>
    <s v="Sensitive"/>
    <n v="25"/>
    <s v="Intermediate"/>
    <n v="0"/>
    <x v="0"/>
  </r>
  <r>
    <x v="2"/>
    <x v="0"/>
    <x v="2"/>
    <n v="30"/>
    <s v="Sensitive"/>
    <n v="0"/>
    <s v="Resistant"/>
    <n v="20"/>
    <s v="Sensitive"/>
    <n v="17"/>
    <s v="Intermediate"/>
    <n v="25"/>
    <s v="Intermediate"/>
    <n v="1"/>
    <x v="0"/>
  </r>
  <r>
    <x v="3"/>
    <x v="1"/>
    <x v="0"/>
    <n v="24"/>
    <s v="Sensitive"/>
    <n v="0"/>
    <s v="Resistant"/>
    <n v="16"/>
    <s v="Sensitive"/>
    <n v="0"/>
    <s v="Resistant"/>
    <n v="30"/>
    <s v="Sensitive"/>
    <n v="2"/>
    <x v="0"/>
  </r>
  <r>
    <x v="3"/>
    <x v="1"/>
    <x v="0"/>
    <n v="26"/>
    <s v="Sensitive"/>
    <n v="20"/>
    <s v="Intermediate"/>
    <n v="10"/>
    <s v="Resistant"/>
    <n v="9"/>
    <s v="Resistant"/>
    <n v="23"/>
    <s v="Intermediate"/>
    <n v="2"/>
    <x v="0"/>
  </r>
  <r>
    <x v="3"/>
    <x v="1"/>
    <x v="0"/>
    <n v="21"/>
    <s v="Intermediate"/>
    <n v="0"/>
    <s v="Resistant"/>
    <n v="15"/>
    <s v="Sensitive"/>
    <n v="0"/>
    <s v="Resistant"/>
    <n v="22"/>
    <s v="Intermediate"/>
    <n v="2"/>
    <x v="0"/>
  </r>
  <r>
    <x v="3"/>
    <x v="1"/>
    <x v="0"/>
    <n v="22"/>
    <s v="Intermediate"/>
    <n v="12"/>
    <s v="Resistant"/>
    <n v="17"/>
    <s v="Sensitive"/>
    <n v="0"/>
    <s v="Resistant"/>
    <n v="19"/>
    <s v="Resistant"/>
    <n v="3"/>
    <x v="1"/>
  </r>
  <r>
    <x v="3"/>
    <x v="1"/>
    <x v="0"/>
    <n v="20"/>
    <s v="Intermediate"/>
    <n v="0"/>
    <s v="Resistant"/>
    <n v="15"/>
    <s v="Sensitive"/>
    <n v="0"/>
    <s v="Resistant"/>
    <n v="20"/>
    <s v="Resistant"/>
    <n v="3"/>
    <x v="1"/>
  </r>
  <r>
    <x v="3"/>
    <x v="1"/>
    <x v="0"/>
    <n v="17"/>
    <s v="Resistant"/>
    <n v="0"/>
    <s v="Resistant"/>
    <n v="15"/>
    <s v="Sensitive"/>
    <n v="0"/>
    <s v="Resistant"/>
    <n v="12"/>
    <s v="Resistant"/>
    <n v="4"/>
    <x v="2"/>
  </r>
  <r>
    <x v="3"/>
    <x v="1"/>
    <x v="0"/>
    <n v="18"/>
    <s v="Resistant"/>
    <n v="24"/>
    <s v="Sensitive"/>
    <n v="13"/>
    <s v="Intermediate"/>
    <n v="9"/>
    <s v="Resistant"/>
    <n v="32"/>
    <s v="Sensitive"/>
    <n v="2"/>
    <x v="0"/>
  </r>
  <r>
    <x v="3"/>
    <x v="1"/>
    <x v="0"/>
    <n v="27"/>
    <s v="Sensitive"/>
    <n v="0"/>
    <s v="Resistant"/>
    <n v="15"/>
    <s v="Sensitive"/>
    <n v="0"/>
    <s v="Resistant"/>
    <n v="10"/>
    <s v="Resistant"/>
    <n v="3"/>
    <x v="1"/>
  </r>
  <r>
    <x v="3"/>
    <x v="1"/>
    <x v="0"/>
    <n v="22"/>
    <s v="Intermediate"/>
    <n v="18"/>
    <s v="Intermediate"/>
    <n v="15"/>
    <s v="Sensitive"/>
    <n v="0"/>
    <s v="Resistant"/>
    <n v="25"/>
    <s v="Intermediate"/>
    <n v="1"/>
    <x v="0"/>
  </r>
  <r>
    <x v="3"/>
    <x v="1"/>
    <x v="0"/>
    <n v="17"/>
    <s v="Resistant"/>
    <n v="12"/>
    <s v="Resistant"/>
    <n v="15"/>
    <s v="Sensitive"/>
    <n v="0"/>
    <s v="Resistant"/>
    <n v="21"/>
    <s v="Resistant"/>
    <n v="4"/>
    <x v="2"/>
  </r>
  <r>
    <x v="3"/>
    <x v="1"/>
    <x v="0"/>
    <n v="24"/>
    <s v="Sensitive"/>
    <n v="11"/>
    <s v="Resistant"/>
    <n v="17"/>
    <s v="Sensitive"/>
    <n v="0"/>
    <s v="Resistant"/>
    <n v="21"/>
    <s v="Resistant"/>
    <n v="3"/>
    <x v="1"/>
  </r>
  <r>
    <x v="3"/>
    <x v="1"/>
    <x v="0"/>
    <n v="23"/>
    <s v="Sensitive"/>
    <n v="12"/>
    <s v="Resistant"/>
    <n v="8"/>
    <s v="Resistant"/>
    <n v="0"/>
    <s v="Resistant"/>
    <n v="22"/>
    <s v="Intermediate"/>
    <n v="3"/>
    <x v="1"/>
  </r>
  <r>
    <x v="3"/>
    <x v="1"/>
    <x v="0"/>
    <n v="22"/>
    <s v="Intermediate"/>
    <n v="15"/>
    <s v="Resistant"/>
    <n v="9"/>
    <s v="Resistant"/>
    <n v="0"/>
    <s v="Resistant"/>
    <n v="20"/>
    <s v="Resistant"/>
    <n v="4"/>
    <x v="2"/>
  </r>
  <r>
    <x v="3"/>
    <x v="1"/>
    <x v="0"/>
    <n v="24"/>
    <s v="Sensitive"/>
    <n v="32"/>
    <s v="Sensitive"/>
    <n v="22"/>
    <s v="Sensitive"/>
    <n v="13"/>
    <s v="Resistant"/>
    <n v="19"/>
    <s v="Resistant"/>
    <n v="2"/>
    <x v="0"/>
  </r>
  <r>
    <x v="3"/>
    <x v="1"/>
    <x v="0"/>
    <n v="22"/>
    <s v="Intermediate"/>
    <n v="25"/>
    <s v="Sensitive"/>
    <n v="18"/>
    <s v="Sensitive"/>
    <n v="7"/>
    <s v="Resistant"/>
    <n v="20"/>
    <s v="Resistant"/>
    <n v="2"/>
    <x v="0"/>
  </r>
  <r>
    <x v="3"/>
    <x v="1"/>
    <x v="0"/>
    <n v="20"/>
    <s v="Intermediate"/>
    <n v="13"/>
    <s v="Resistant"/>
    <n v="0"/>
    <s v="Resistant"/>
    <n v="0"/>
    <s v="Resistant"/>
    <n v="0"/>
    <s v="Resistant"/>
    <n v="4"/>
    <x v="2"/>
  </r>
  <r>
    <x v="3"/>
    <x v="1"/>
    <x v="0"/>
    <n v="20"/>
    <s v="Intermediate"/>
    <n v="0"/>
    <s v="Resistant"/>
    <n v="8"/>
    <s v="Resistant"/>
    <n v="0"/>
    <s v="Resistant"/>
    <n v="20"/>
    <s v="Resistant"/>
    <n v="4"/>
    <x v="2"/>
  </r>
  <r>
    <x v="3"/>
    <x v="1"/>
    <x v="0"/>
    <n v="23"/>
    <s v="Sensitive"/>
    <n v="0"/>
    <s v="Resistant"/>
    <n v="15"/>
    <s v="Sensitive"/>
    <n v="0"/>
    <s v="Resistant"/>
    <n v="25"/>
    <s v="Intermediate"/>
    <n v="2"/>
    <x v="0"/>
  </r>
  <r>
    <x v="3"/>
    <x v="1"/>
    <x v="0"/>
    <n v="25"/>
    <s v="Sensitive"/>
    <n v="11"/>
    <s v="Resistant"/>
    <n v="16"/>
    <s v="Sensitive"/>
    <n v="0"/>
    <s v="Resistant"/>
    <n v="15"/>
    <s v="Resistant"/>
    <n v="3"/>
    <x v="1"/>
  </r>
  <r>
    <x v="3"/>
    <x v="1"/>
    <x v="0"/>
    <n v="23"/>
    <s v="Sensitive"/>
    <n v="13"/>
    <s v="Resistant"/>
    <n v="15"/>
    <s v="Sensitive"/>
    <n v="0"/>
    <s v="Resistant"/>
    <n v="17"/>
    <s v="Resistant"/>
    <n v="3"/>
    <x v="1"/>
  </r>
  <r>
    <x v="3"/>
    <x v="1"/>
    <x v="0"/>
    <n v="27"/>
    <s v="Sensitive"/>
    <n v="8"/>
    <s v="Resistant"/>
    <n v="20"/>
    <s v="Sensitive"/>
    <n v="12"/>
    <s v="Resistant"/>
    <n v="0"/>
    <s v="Resistant"/>
    <n v="3"/>
    <x v="1"/>
  </r>
  <r>
    <x v="3"/>
    <x v="1"/>
    <x v="0"/>
    <n v="25"/>
    <s v="Sensitive"/>
    <n v="0"/>
    <s v="Resistant"/>
    <n v="17"/>
    <s v="Sensitive"/>
    <n v="0"/>
    <s v="Resistant"/>
    <n v="11"/>
    <s v="Resistant"/>
    <n v="3"/>
    <x v="1"/>
  </r>
  <r>
    <x v="3"/>
    <x v="1"/>
    <x v="0"/>
    <n v="25"/>
    <s v="Sensitive"/>
    <n v="0"/>
    <s v="Resistant"/>
    <n v="16"/>
    <s v="Sensitive"/>
    <n v="0"/>
    <s v="Resistant"/>
    <n v="19"/>
    <s v="Resistant"/>
    <n v="3"/>
    <x v="1"/>
  </r>
  <r>
    <x v="4"/>
    <x v="1"/>
    <x v="1"/>
    <n v="23"/>
    <s v="Sensitive"/>
    <n v="10"/>
    <s v="Resistant"/>
    <n v="15"/>
    <s v="Sensitive"/>
    <n v="0"/>
    <s v="Resistant"/>
    <n v="15"/>
    <s v="Resistant"/>
    <n v="3"/>
    <x v="1"/>
  </r>
  <r>
    <x v="4"/>
    <x v="1"/>
    <x v="1"/>
    <n v="20"/>
    <s v="Intermediate"/>
    <n v="11"/>
    <s v="Resistant"/>
    <n v="14"/>
    <s v="Intermediate"/>
    <n v="0"/>
    <s v="Resistant"/>
    <n v="20"/>
    <s v="Resistant"/>
    <n v="3"/>
    <x v="1"/>
  </r>
  <r>
    <x v="4"/>
    <x v="1"/>
    <x v="1"/>
    <n v="20"/>
    <s v="Intermediate"/>
    <n v="11"/>
    <s v="Resistant"/>
    <n v="10"/>
    <s v="Resistant"/>
    <n v="0"/>
    <s v="Resistant"/>
    <n v="17"/>
    <s v="Resistant"/>
    <n v="4"/>
    <x v="2"/>
  </r>
  <r>
    <x v="4"/>
    <x v="1"/>
    <x v="1"/>
    <n v="20"/>
    <s v="Intermediate"/>
    <n v="0"/>
    <s v="Resistant"/>
    <n v="15"/>
    <s v="Sensitive"/>
    <n v="0"/>
    <s v="Resistant"/>
    <n v="0"/>
    <s v="Resistant"/>
    <n v="3"/>
    <x v="1"/>
  </r>
  <r>
    <x v="4"/>
    <x v="1"/>
    <x v="1"/>
    <n v="20"/>
    <s v="Intermediate"/>
    <n v="12"/>
    <s v="Resistant"/>
    <n v="17"/>
    <s v="Sensitive"/>
    <n v="0"/>
    <s v="Resistant"/>
    <n v="17"/>
    <s v="Resistant"/>
    <n v="3"/>
    <x v="1"/>
  </r>
  <r>
    <x v="4"/>
    <x v="1"/>
    <x v="1"/>
    <n v="23"/>
    <s v="Sensitive"/>
    <n v="15"/>
    <s v="Resistant"/>
    <n v="15"/>
    <s v="Sensitive"/>
    <n v="0"/>
    <s v="Resistant"/>
    <n v="7"/>
    <s v="Resistant"/>
    <n v="3"/>
    <x v="1"/>
  </r>
  <r>
    <x v="4"/>
    <x v="1"/>
    <x v="1"/>
    <n v="25"/>
    <s v="Sensitive"/>
    <n v="0"/>
    <s v="Resistant"/>
    <n v="17"/>
    <s v="Sensitive"/>
    <n v="7"/>
    <s v="Resistant"/>
    <n v="21"/>
    <s v="Resistant"/>
    <n v="3"/>
    <x v="1"/>
  </r>
  <r>
    <x v="4"/>
    <x v="1"/>
    <x v="1"/>
    <n v="30"/>
    <s v="Sensitive"/>
    <n v="0"/>
    <s v="Resistant"/>
    <n v="19"/>
    <s v="Sensitive"/>
    <n v="15"/>
    <s v="Intermediate"/>
    <n v="25"/>
    <s v="Intermediate"/>
    <n v="1"/>
    <x v="0"/>
  </r>
  <r>
    <x v="4"/>
    <x v="1"/>
    <x v="1"/>
    <n v="15"/>
    <s v="Resistant"/>
    <n v="0"/>
    <s v="Resistant"/>
    <n v="0"/>
    <s v="Resistant"/>
    <n v="0"/>
    <s v="Resistant"/>
    <n v="24"/>
    <s v="Intermediate"/>
    <n v="4"/>
    <x v="2"/>
  </r>
  <r>
    <x v="4"/>
    <x v="1"/>
    <x v="1"/>
    <n v="30"/>
    <s v="Sensitive"/>
    <n v="0"/>
    <s v="Resistant"/>
    <n v="15"/>
    <s v="Sensitive"/>
    <n v="7"/>
    <s v="Resistant"/>
    <n v="20"/>
    <s v="Resistant"/>
    <n v="3"/>
    <x v="1"/>
  </r>
  <r>
    <x v="4"/>
    <x v="1"/>
    <x v="1"/>
    <n v="20"/>
    <s v="Intermediate"/>
    <n v="0"/>
    <s v="Resistant"/>
    <n v="16"/>
    <s v="Sensitive"/>
    <n v="0"/>
    <s v="Resistant"/>
    <n v="15"/>
    <s v="Resistant"/>
    <n v="3"/>
    <x v="1"/>
  </r>
  <r>
    <x v="4"/>
    <x v="1"/>
    <x v="1"/>
    <n v="25"/>
    <s v="Sensitive"/>
    <n v="0"/>
    <s v="Resistant"/>
    <n v="20"/>
    <s v="Sensitive"/>
    <n v="0"/>
    <s v="Resistant"/>
    <n v="20"/>
    <s v="Resistant"/>
    <n v="3"/>
    <x v="1"/>
  </r>
  <r>
    <x v="4"/>
    <x v="1"/>
    <x v="1"/>
    <n v="20"/>
    <s v="Intermediate"/>
    <n v="0"/>
    <s v="Resistant"/>
    <n v="19"/>
    <s v="Sensitive"/>
    <n v="0"/>
    <s v="Resistant"/>
    <n v="22"/>
    <s v="Intermediate"/>
    <n v="2"/>
    <x v="0"/>
  </r>
  <r>
    <x v="4"/>
    <x v="1"/>
    <x v="1"/>
    <n v="20"/>
    <s v="Intermediate"/>
    <n v="0"/>
    <s v="Resistant"/>
    <n v="15"/>
    <s v="Sensitive"/>
    <n v="0"/>
    <s v="Resistant"/>
    <n v="20"/>
    <s v="Resistant"/>
    <n v="3"/>
    <x v="1"/>
  </r>
  <r>
    <x v="4"/>
    <x v="1"/>
    <x v="1"/>
    <n v="30"/>
    <s v="Sensitive"/>
    <n v="7"/>
    <s v="Resistant"/>
    <n v="19"/>
    <s v="Sensitive"/>
    <n v="0"/>
    <s v="Resistant"/>
    <n v="22"/>
    <s v="Intermediate"/>
    <n v="2"/>
    <x v="0"/>
  </r>
  <r>
    <x v="4"/>
    <x v="1"/>
    <x v="1"/>
    <n v="20"/>
    <s v="Intermediate"/>
    <n v="20"/>
    <s v="Intermediate"/>
    <n v="10"/>
    <s v="Resistant"/>
    <n v="0"/>
    <s v="Resistant"/>
    <n v="20"/>
    <s v="Resistant"/>
    <n v="3"/>
    <x v="1"/>
  </r>
  <r>
    <x v="4"/>
    <x v="1"/>
    <x v="1"/>
    <n v="25"/>
    <s v="Sensitive"/>
    <n v="0"/>
    <s v="Resistant"/>
    <n v="28"/>
    <s v="Sensitive"/>
    <n v="0"/>
    <s v="Resistant"/>
    <n v="25"/>
    <s v="Intermediate"/>
    <n v="2"/>
    <x v="0"/>
  </r>
  <r>
    <x v="4"/>
    <x v="1"/>
    <x v="1"/>
    <n v="20"/>
    <s v="Intermediate"/>
    <n v="0"/>
    <s v="Resistant"/>
    <n v="20"/>
    <s v="Sensitive"/>
    <n v="0"/>
    <s v="Resistant"/>
    <n v="20"/>
    <s v="Resistant"/>
    <n v="3"/>
    <x v="1"/>
  </r>
  <r>
    <x v="4"/>
    <x v="1"/>
    <x v="1"/>
    <n v="30"/>
    <s v="Sensitive"/>
    <n v="0"/>
    <s v="Resistant"/>
    <n v="20"/>
    <s v="Sensitive"/>
    <n v="20"/>
    <s v="Sensitive"/>
    <n v="20"/>
    <s v="Resistant"/>
    <n v="2"/>
    <x v="0"/>
  </r>
  <r>
    <x v="4"/>
    <x v="1"/>
    <x v="1"/>
    <n v="25"/>
    <s v="Sensitive"/>
    <n v="10"/>
    <s v="Resistant"/>
    <n v="15"/>
    <s v="Sensitive"/>
    <n v="0"/>
    <s v="Resistant"/>
    <n v="20"/>
    <s v="Resistant"/>
    <n v="3"/>
    <x v="1"/>
  </r>
  <r>
    <x v="4"/>
    <x v="1"/>
    <x v="1"/>
    <n v="25"/>
    <s v="Sensitive"/>
    <n v="10"/>
    <s v="Resistant"/>
    <n v="20"/>
    <s v="Sensitive"/>
    <n v="22"/>
    <s v="Sensitive"/>
    <n v="25"/>
    <s v="Intermediate"/>
    <n v="1"/>
    <x v="0"/>
  </r>
  <r>
    <x v="4"/>
    <x v="1"/>
    <x v="1"/>
    <n v="30"/>
    <s v="Sensitive"/>
    <n v="0"/>
    <s v="Resistant"/>
    <n v="20"/>
    <s v="Sensitive"/>
    <n v="0"/>
    <s v="Resistant"/>
    <n v="22"/>
    <s v="Intermediate"/>
    <n v="2"/>
    <x v="0"/>
  </r>
  <r>
    <x v="4"/>
    <x v="1"/>
    <x v="1"/>
    <n v="30"/>
    <s v="Sensitive"/>
    <n v="10"/>
    <s v="Resistant"/>
    <n v="20"/>
    <s v="Sensitive"/>
    <n v="0"/>
    <s v="Resistant"/>
    <n v="25"/>
    <s v="Intermediate"/>
    <n v="2"/>
    <x v="0"/>
  </r>
  <r>
    <x v="5"/>
    <x v="1"/>
    <x v="2"/>
    <n v="25"/>
    <s v="Sensitive"/>
    <n v="25"/>
    <s v="Sensitive"/>
    <n v="18"/>
    <s v="Sensitive"/>
    <n v="15"/>
    <s v="Intermediate"/>
    <n v="21"/>
    <s v="Resistant"/>
    <n v="1"/>
    <x v="0"/>
  </r>
  <r>
    <x v="5"/>
    <x v="1"/>
    <x v="2"/>
    <n v="25"/>
    <s v="Sensitive"/>
    <n v="0"/>
    <s v="Resistant"/>
    <n v="20"/>
    <s v="Sensitive"/>
    <n v="7"/>
    <s v="Resistant"/>
    <n v="20"/>
    <s v="Resistant"/>
    <n v="3"/>
    <x v="1"/>
  </r>
  <r>
    <x v="5"/>
    <x v="1"/>
    <x v="2"/>
    <n v="7"/>
    <s v="Resistant"/>
    <n v="15"/>
    <s v="Resistant"/>
    <n v="20"/>
    <s v="Sensitive"/>
    <n v="7"/>
    <s v="Resistant"/>
    <n v="20"/>
    <s v="Resistant"/>
    <n v="4"/>
    <x v="2"/>
  </r>
  <r>
    <x v="5"/>
    <x v="1"/>
    <x v="2"/>
    <n v="24"/>
    <s v="Sensitive"/>
    <n v="10"/>
    <s v="Resistant"/>
    <n v="18"/>
    <s v="Sensitive"/>
    <n v="10"/>
    <s v="Resistant"/>
    <n v="23"/>
    <s v="Intermediate"/>
    <n v="2"/>
    <x v="0"/>
  </r>
  <r>
    <x v="5"/>
    <x v="1"/>
    <x v="2"/>
    <n v="26"/>
    <s v="Sensitive"/>
    <n v="20"/>
    <s v="Intermediate"/>
    <n v="20"/>
    <s v="Sensitive"/>
    <n v="17"/>
    <s v="Intermediate"/>
    <n v="25"/>
    <s v="Intermediate"/>
    <n v="0"/>
    <x v="0"/>
  </r>
  <r>
    <x v="5"/>
    <x v="1"/>
    <x v="2"/>
    <n v="25"/>
    <s v="Sensitive"/>
    <n v="25"/>
    <s v="Sensitive"/>
    <n v="20"/>
    <s v="Sensitive"/>
    <n v="20"/>
    <s v="Sensitive"/>
    <n v="30"/>
    <s v="Sensitive"/>
    <n v="0"/>
    <x v="0"/>
  </r>
  <r>
    <x v="5"/>
    <x v="1"/>
    <x v="2"/>
    <n v="29"/>
    <s v="Sensitive"/>
    <n v="24"/>
    <s v="Sensitive"/>
    <n v="20"/>
    <s v="Sensitive"/>
    <n v="10"/>
    <s v="Resistant"/>
    <n v="0"/>
    <s v="Resistant"/>
    <n v="2"/>
    <x v="0"/>
  </r>
  <r>
    <x v="5"/>
    <x v="1"/>
    <x v="2"/>
    <n v="39"/>
    <s v="Sensitive"/>
    <n v="0"/>
    <s v="Resistant"/>
    <n v="24"/>
    <s v="Sensitive"/>
    <n v="18"/>
    <s v="Sensitive"/>
    <n v="25"/>
    <s v="Intermediate"/>
    <n v="1"/>
    <x v="0"/>
  </r>
  <r>
    <x v="5"/>
    <x v="1"/>
    <x v="2"/>
    <n v="37"/>
    <s v="Sensitive"/>
    <n v="10"/>
    <s v="Resistant"/>
    <n v="15"/>
    <s v="Sensitive"/>
    <n v="17"/>
    <s v="Intermediate"/>
    <n v="25"/>
    <s v="Intermediate"/>
    <n v="1"/>
    <x v="0"/>
  </r>
  <r>
    <x v="5"/>
    <x v="1"/>
    <x v="2"/>
    <n v="35"/>
    <s v="Sensitive"/>
    <n v="0"/>
    <s v="Resistant"/>
    <n v="25"/>
    <s v="Sensitive"/>
    <n v="30"/>
    <s v="Sensitive"/>
    <n v="30"/>
    <s v="Sensitive"/>
    <n v="1"/>
    <x v="0"/>
  </r>
  <r>
    <x v="5"/>
    <x v="1"/>
    <x v="2"/>
    <n v="36"/>
    <s v="Sensitive"/>
    <n v="10"/>
    <s v="Resistant"/>
    <n v="16"/>
    <s v="Sensitive"/>
    <n v="20"/>
    <s v="Sensitive"/>
    <n v="20"/>
    <s v="Resistant"/>
    <n v="2"/>
    <x v="0"/>
  </r>
  <r>
    <x v="5"/>
    <x v="1"/>
    <x v="2"/>
    <n v="39"/>
    <s v="Sensitive"/>
    <n v="5"/>
    <s v="Resistant"/>
    <n v="25"/>
    <s v="Sensitive"/>
    <n v="17"/>
    <s v="Intermediate"/>
    <n v="25"/>
    <s v="Intermediate"/>
    <n v="1"/>
    <x v="0"/>
  </r>
  <r>
    <x v="5"/>
    <x v="1"/>
    <x v="2"/>
    <n v="32"/>
    <s v="Sensitive"/>
    <n v="0"/>
    <s v="Resistant"/>
    <n v="20"/>
    <s v="Sensitive"/>
    <n v="15"/>
    <s v="Intermediate"/>
    <n v="20"/>
    <s v="Resistant"/>
    <n v="2"/>
    <x v="0"/>
  </r>
  <r>
    <x v="5"/>
    <x v="1"/>
    <x v="2"/>
    <n v="25"/>
    <s v="Sensitive"/>
    <n v="10"/>
    <s v="Resistant"/>
    <n v="20"/>
    <s v="Sensitive"/>
    <n v="17"/>
    <s v="Intermediate"/>
    <n v="17"/>
    <s v="Resistant"/>
    <n v="2"/>
    <x v="0"/>
  </r>
  <r>
    <x v="5"/>
    <x v="1"/>
    <x v="2"/>
    <n v="30"/>
    <s v="Sensitive"/>
    <n v="10"/>
    <s v="Resistant"/>
    <n v="25"/>
    <s v="Sensitive"/>
    <n v="15"/>
    <s v="Intermediate"/>
    <n v="25"/>
    <s v="Intermediate"/>
    <n v="1"/>
    <x v="0"/>
  </r>
  <r>
    <x v="5"/>
    <x v="1"/>
    <x v="2"/>
    <n v="30"/>
    <s v="Sensitive"/>
    <n v="10"/>
    <s v="Resistant"/>
    <n v="25"/>
    <s v="Sensitive"/>
    <n v="25"/>
    <s v="Sensitive"/>
    <n v="20"/>
    <s v="Resistant"/>
    <n v="2"/>
    <x v="0"/>
  </r>
  <r>
    <x v="5"/>
    <x v="1"/>
    <x v="2"/>
    <n v="30"/>
    <s v="Sensitive"/>
    <n v="0"/>
    <s v="Resistant"/>
    <n v="25"/>
    <s v="Sensitive"/>
    <n v="30"/>
    <s v="Sensitive"/>
    <n v="30"/>
    <s v="Sensitive"/>
    <n v="1"/>
    <x v="0"/>
  </r>
  <r>
    <x v="5"/>
    <x v="1"/>
    <x v="2"/>
    <n v="25"/>
    <s v="Sensitive"/>
    <n v="10"/>
    <s v="Resistant"/>
    <n v="15"/>
    <s v="Sensitive"/>
    <n v="15"/>
    <s v="Intermediate"/>
    <n v="20"/>
    <s v="Resistant"/>
    <n v="2"/>
    <x v="0"/>
  </r>
  <r>
    <x v="5"/>
    <x v="1"/>
    <x v="2"/>
    <n v="30"/>
    <s v="Sensitive"/>
    <n v="0"/>
    <s v="Resistant"/>
    <n v="20"/>
    <s v="Sensitive"/>
    <n v="12"/>
    <s v="Resistant"/>
    <n v="20"/>
    <s v="Resistant"/>
    <n v="3"/>
    <x v="1"/>
  </r>
  <r>
    <x v="5"/>
    <x v="1"/>
    <x v="2"/>
    <n v="35"/>
    <s v="Sensitive"/>
    <n v="7"/>
    <s v="Resistant"/>
    <n v="20"/>
    <s v="Sensitive"/>
    <n v="20"/>
    <s v="Sensitive"/>
    <n v="23"/>
    <s v="Intermediate"/>
    <n v="1"/>
    <x v="0"/>
  </r>
  <r>
    <x v="5"/>
    <x v="1"/>
    <x v="2"/>
    <n v="25"/>
    <s v="Sensitive"/>
    <n v="0"/>
    <s v="Resistant"/>
    <n v="18"/>
    <s v="Sensitive"/>
    <n v="10"/>
    <s v="Resistant"/>
    <n v="20"/>
    <s v="Resistant"/>
    <n v="3"/>
    <x v="1"/>
  </r>
  <r>
    <x v="5"/>
    <x v="1"/>
    <x v="2"/>
    <n v="32"/>
    <s v="Sensitive"/>
    <n v="10"/>
    <s v="Resistant"/>
    <n v="21"/>
    <s v="Sensitive"/>
    <n v="7"/>
    <s v="Resistant"/>
    <n v="20"/>
    <s v="Resistant"/>
    <n v="3"/>
    <x v="1"/>
  </r>
  <r>
    <x v="5"/>
    <x v="1"/>
    <x v="2"/>
    <n v="30"/>
    <s v="Sensitive"/>
    <n v="12"/>
    <s v="Resistant"/>
    <n v="17"/>
    <s v="Sensitive"/>
    <n v="25"/>
    <s v="Sensitive"/>
    <n v="15"/>
    <s v="Resistant"/>
    <n v="2"/>
    <x v="0"/>
  </r>
  <r>
    <x v="6"/>
    <x v="2"/>
    <x v="0"/>
    <n v="19"/>
    <s v="Resistant"/>
    <n v="23"/>
    <s v="Sensitive"/>
    <n v="16"/>
    <s v="Sensitive"/>
    <n v="8"/>
    <s v="Resistant"/>
    <n v="11"/>
    <s v="Resistant"/>
    <n v="3"/>
    <x v="1"/>
  </r>
  <r>
    <x v="6"/>
    <x v="2"/>
    <x v="0"/>
    <n v="20"/>
    <s v="Intermediate"/>
    <n v="8"/>
    <s v="Resistant"/>
    <n v="14"/>
    <s v="Intermediate"/>
    <n v="19"/>
    <s v="Sensitive"/>
    <n v="22"/>
    <s v="Intermediate"/>
    <n v="1"/>
    <x v="0"/>
  </r>
  <r>
    <x v="6"/>
    <x v="2"/>
    <x v="0"/>
    <n v="20"/>
    <s v="Intermediate"/>
    <n v="0"/>
    <s v="Resistant"/>
    <n v="10"/>
    <s v="Resistant"/>
    <n v="0"/>
    <s v="Resistant"/>
    <n v="17"/>
    <s v="Resistant"/>
    <n v="4"/>
    <x v="2"/>
  </r>
  <r>
    <x v="6"/>
    <x v="2"/>
    <x v="0"/>
    <n v="18"/>
    <s v="Resistant"/>
    <n v="15"/>
    <s v="Resistant"/>
    <n v="15"/>
    <s v="Sensitive"/>
    <n v="10"/>
    <s v="Resistant"/>
    <n v="0"/>
    <s v="Resistant"/>
    <n v="4"/>
    <x v="2"/>
  </r>
  <r>
    <x v="6"/>
    <x v="2"/>
    <x v="0"/>
    <n v="22"/>
    <s v="Intermediate"/>
    <n v="9"/>
    <s v="Resistant"/>
    <n v="13"/>
    <s v="Intermediate"/>
    <n v="17"/>
    <s v="Intermediate"/>
    <n v="12"/>
    <s v="Resistant"/>
    <n v="2"/>
    <x v="0"/>
  </r>
  <r>
    <x v="6"/>
    <x v="2"/>
    <x v="0"/>
    <n v="22"/>
    <s v="Intermediate"/>
    <n v="0"/>
    <s v="Resistant"/>
    <n v="13"/>
    <s v="Intermediate"/>
    <n v="14"/>
    <s v="Intermediate"/>
    <n v="7"/>
    <s v="Resistant"/>
    <n v="2"/>
    <x v="0"/>
  </r>
  <r>
    <x v="6"/>
    <x v="2"/>
    <x v="0"/>
    <n v="17"/>
    <s v="Resistant"/>
    <n v="0"/>
    <s v="Resistant"/>
    <n v="8"/>
    <s v="Resistant"/>
    <n v="12"/>
    <s v="Resistant"/>
    <n v="0"/>
    <s v="Resistant"/>
    <n v="5"/>
    <x v="3"/>
  </r>
  <r>
    <x v="6"/>
    <x v="2"/>
    <x v="0"/>
    <n v="16"/>
    <s v="Resistant"/>
    <n v="0"/>
    <s v="Resistant"/>
    <n v="7"/>
    <s v="Resistant"/>
    <n v="9"/>
    <s v="Resistant"/>
    <n v="0"/>
    <s v="Resistant"/>
    <n v="5"/>
    <x v="3"/>
  </r>
  <r>
    <x v="6"/>
    <x v="2"/>
    <x v="0"/>
    <n v="18"/>
    <s v="Resistant"/>
    <n v="13"/>
    <s v="Resistant"/>
    <n v="7"/>
    <s v="Resistant"/>
    <n v="11"/>
    <s v="Resistant"/>
    <n v="12"/>
    <s v="Resistant"/>
    <n v="5"/>
    <x v="3"/>
  </r>
  <r>
    <x v="6"/>
    <x v="2"/>
    <x v="0"/>
    <n v="23"/>
    <s v="Sensitive"/>
    <n v="19"/>
    <s v="Intermediate"/>
    <n v="18"/>
    <s v="Sensitive"/>
    <n v="18"/>
    <s v="Sensitive"/>
    <n v="22"/>
    <s v="Intermediate"/>
    <n v="0"/>
    <x v="0"/>
  </r>
  <r>
    <x v="6"/>
    <x v="2"/>
    <x v="0"/>
    <n v="23"/>
    <s v="Sensitive"/>
    <n v="13"/>
    <s v="Resistant"/>
    <n v="17"/>
    <s v="Sensitive"/>
    <n v="0"/>
    <s v="Resistant"/>
    <n v="24"/>
    <s v="Intermediate"/>
    <n v="2"/>
    <x v="0"/>
  </r>
  <r>
    <x v="6"/>
    <x v="2"/>
    <x v="0"/>
    <n v="19"/>
    <s v="Resistant"/>
    <n v="0"/>
    <s v="Resistant"/>
    <n v="12"/>
    <s v="Resistant"/>
    <n v="0"/>
    <s v="Resistant"/>
    <n v="20"/>
    <s v="Resistant"/>
    <n v="5"/>
    <x v="3"/>
  </r>
  <r>
    <x v="6"/>
    <x v="2"/>
    <x v="0"/>
    <n v="17"/>
    <s v="Resistant"/>
    <n v="8"/>
    <s v="Resistant"/>
    <n v="9"/>
    <s v="Resistant"/>
    <n v="0"/>
    <s v="Resistant"/>
    <n v="0"/>
    <s v="Resistant"/>
    <n v="5"/>
    <x v="3"/>
  </r>
  <r>
    <x v="6"/>
    <x v="2"/>
    <x v="0"/>
    <n v="0"/>
    <s v="Resistant"/>
    <n v="0"/>
    <s v="Resistant"/>
    <n v="13"/>
    <s v="Intermediate"/>
    <n v="8"/>
    <s v="Resistant"/>
    <n v="0"/>
    <s v="Resistant"/>
    <n v="4"/>
    <x v="2"/>
  </r>
  <r>
    <x v="6"/>
    <x v="2"/>
    <x v="0"/>
    <n v="24"/>
    <s v="Sensitive"/>
    <n v="11"/>
    <s v="Resistant"/>
    <n v="18"/>
    <s v="Sensitive"/>
    <n v="15"/>
    <s v="Intermediate"/>
    <n v="21"/>
    <s v="Resistant"/>
    <n v="2"/>
    <x v="0"/>
  </r>
  <r>
    <x v="6"/>
    <x v="2"/>
    <x v="0"/>
    <n v="23"/>
    <s v="Sensitive"/>
    <n v="12"/>
    <s v="Resistant"/>
    <n v="17"/>
    <s v="Sensitive"/>
    <n v="10"/>
    <s v="Resistant"/>
    <n v="25"/>
    <s v="Intermediate"/>
    <n v="2"/>
    <x v="0"/>
  </r>
  <r>
    <x v="6"/>
    <x v="2"/>
    <x v="0"/>
    <n v="20"/>
    <s v="Intermediate"/>
    <n v="14"/>
    <s v="Resistant"/>
    <n v="16"/>
    <s v="Sensitive"/>
    <n v="20"/>
    <s v="Sensitive"/>
    <n v="22"/>
    <s v="Intermediate"/>
    <n v="1"/>
    <x v="0"/>
  </r>
  <r>
    <x v="6"/>
    <x v="2"/>
    <x v="0"/>
    <n v="24"/>
    <s v="Sensitive"/>
    <n v="15"/>
    <s v="Resistant"/>
    <n v="16"/>
    <s v="Sensitive"/>
    <n v="12"/>
    <s v="Resistant"/>
    <n v="24"/>
    <s v="Intermediate"/>
    <n v="2"/>
    <x v="0"/>
  </r>
  <r>
    <x v="6"/>
    <x v="2"/>
    <x v="0"/>
    <n v="27"/>
    <s v="Sensitive"/>
    <n v="25"/>
    <s v="Sensitive"/>
    <n v="12"/>
    <s v="Resistant"/>
    <n v="17"/>
    <s v="Intermediate"/>
    <n v="25"/>
    <s v="Intermediate"/>
    <n v="1"/>
    <x v="0"/>
  </r>
  <r>
    <x v="6"/>
    <x v="2"/>
    <x v="0"/>
    <n v="18"/>
    <s v="Resistant"/>
    <n v="0"/>
    <s v="Resistant"/>
    <n v="10"/>
    <s v="Resistant"/>
    <n v="11"/>
    <s v="Resistant"/>
    <n v="8"/>
    <s v="Resistant"/>
    <n v="5"/>
    <x v="3"/>
  </r>
  <r>
    <x v="6"/>
    <x v="2"/>
    <x v="0"/>
    <n v="21"/>
    <s v="Intermediate"/>
    <n v="20"/>
    <s v="Intermediate"/>
    <n v="15"/>
    <s v="Sensitive"/>
    <n v="0"/>
    <s v="Resistant"/>
    <n v="26"/>
    <s v="Sensitive"/>
    <n v="1"/>
    <x v="0"/>
  </r>
  <r>
    <x v="6"/>
    <x v="2"/>
    <x v="0"/>
    <n v="21"/>
    <s v="Intermediate"/>
    <n v="0"/>
    <s v="Resistant"/>
    <n v="13"/>
    <s v="Intermediate"/>
    <n v="0"/>
    <s v="Resistant"/>
    <n v="12"/>
    <s v="Resistant"/>
    <n v="3"/>
    <x v="1"/>
  </r>
  <r>
    <x v="6"/>
    <x v="2"/>
    <x v="0"/>
    <n v="20"/>
    <s v="Intermediate"/>
    <n v="24"/>
    <s v="Sensitive"/>
    <n v="16"/>
    <s v="Sensitive"/>
    <n v="0"/>
    <s v="Resistant"/>
    <n v="23"/>
    <s v="Intermediate"/>
    <n v="1"/>
    <x v="0"/>
  </r>
  <r>
    <x v="6"/>
    <x v="2"/>
    <x v="0"/>
    <n v="21"/>
    <s v="Intermediate"/>
    <n v="0"/>
    <s v="Resistant"/>
    <n v="19"/>
    <s v="Sensitive"/>
    <n v="10"/>
    <s v="Resistant"/>
    <n v="12"/>
    <s v="Resistant"/>
    <n v="3"/>
    <x v="1"/>
  </r>
  <r>
    <x v="6"/>
    <x v="2"/>
    <x v="0"/>
    <n v="20"/>
    <s v="Intermediate"/>
    <n v="18"/>
    <s v="Intermediate"/>
    <n v="14"/>
    <s v="Intermediate"/>
    <n v="0"/>
    <s v="Resistant"/>
    <n v="20"/>
    <s v="Resistant"/>
    <n v="2"/>
    <x v="0"/>
  </r>
  <r>
    <x v="6"/>
    <x v="2"/>
    <x v="0"/>
    <n v="22"/>
    <s v="Intermediate"/>
    <n v="24"/>
    <s v="Sensitive"/>
    <n v="16"/>
    <s v="Sensitive"/>
    <n v="17"/>
    <s v="Intermediate"/>
    <n v="22"/>
    <s v="Intermediate"/>
    <n v="0"/>
    <x v="0"/>
  </r>
  <r>
    <x v="6"/>
    <x v="2"/>
    <x v="0"/>
    <n v="28"/>
    <s v="Sensitive"/>
    <n v="18"/>
    <s v="Intermediate"/>
    <n v="21"/>
    <s v="Sensitive"/>
    <n v="9"/>
    <s v="Resistant"/>
    <n v="26"/>
    <s v="Sensitive"/>
    <n v="1"/>
    <x v="0"/>
  </r>
  <r>
    <x v="7"/>
    <x v="2"/>
    <x v="1"/>
    <n v="20"/>
    <s v="Intermediate"/>
    <n v="0"/>
    <s v="Resistant"/>
    <n v="12"/>
    <s v="Resistant"/>
    <n v="14"/>
    <s v="Intermediate"/>
    <n v="11"/>
    <s v="Resistant"/>
    <n v="3"/>
    <x v="1"/>
  </r>
  <r>
    <x v="7"/>
    <x v="2"/>
    <x v="1"/>
    <n v="20"/>
    <s v="Intermediate"/>
    <n v="12"/>
    <s v="Resistant"/>
    <n v="21"/>
    <s v="Sensitive"/>
    <n v="15"/>
    <s v="Intermediate"/>
    <n v="22"/>
    <s v="Intermediate"/>
    <n v="1"/>
    <x v="0"/>
  </r>
  <r>
    <x v="7"/>
    <x v="2"/>
    <x v="1"/>
    <n v="23"/>
    <s v="Sensitive"/>
    <n v="20"/>
    <s v="Intermediate"/>
    <n v="18"/>
    <s v="Sensitive"/>
    <n v="25"/>
    <s v="Sensitive"/>
    <n v="17"/>
    <s v="Resistant"/>
    <n v="1"/>
    <x v="0"/>
  </r>
  <r>
    <x v="7"/>
    <x v="2"/>
    <x v="1"/>
    <n v="20"/>
    <s v="Intermediate"/>
    <n v="0"/>
    <s v="Resistant"/>
    <n v="9"/>
    <s v="Resistant"/>
    <n v="15"/>
    <s v="Intermediate"/>
    <n v="9"/>
    <s v="Resistant"/>
    <n v="3"/>
    <x v="1"/>
  </r>
  <r>
    <x v="7"/>
    <x v="2"/>
    <x v="1"/>
    <n v="23"/>
    <s v="Sensitive"/>
    <n v="12"/>
    <s v="Resistant"/>
    <n v="20"/>
    <s v="Sensitive"/>
    <n v="25"/>
    <s v="Sensitive"/>
    <n v="28"/>
    <s v="Sensitive"/>
    <n v="1"/>
    <x v="0"/>
  </r>
  <r>
    <x v="7"/>
    <x v="2"/>
    <x v="1"/>
    <n v="22"/>
    <s v="Intermediate"/>
    <n v="10"/>
    <s v="Resistant"/>
    <n v="18"/>
    <s v="Sensitive"/>
    <n v="0"/>
    <s v="Resistant"/>
    <n v="19"/>
    <s v="Resistant"/>
    <n v="3"/>
    <x v="1"/>
  </r>
  <r>
    <x v="7"/>
    <x v="2"/>
    <x v="1"/>
    <n v="19"/>
    <s v="Resistant"/>
    <n v="22"/>
    <s v="Sensitive"/>
    <n v="19"/>
    <s v="Sensitive"/>
    <n v="9"/>
    <s v="Resistant"/>
    <n v="15"/>
    <s v="Resistant"/>
    <n v="3"/>
    <x v="1"/>
  </r>
  <r>
    <x v="7"/>
    <x v="2"/>
    <x v="1"/>
    <n v="21"/>
    <s v="Intermediate"/>
    <n v="17"/>
    <s v="Resistant"/>
    <n v="16"/>
    <s v="Sensitive"/>
    <n v="20"/>
    <s v="Sensitive"/>
    <n v="26"/>
    <s v="Sensitive"/>
    <n v="1"/>
    <x v="0"/>
  </r>
  <r>
    <x v="7"/>
    <x v="2"/>
    <x v="1"/>
    <n v="21"/>
    <s v="Intermediate"/>
    <n v="0"/>
    <s v="Resistant"/>
    <n v="17"/>
    <s v="Sensitive"/>
    <n v="7"/>
    <s v="Resistant"/>
    <n v="20"/>
    <s v="Resistant"/>
    <n v="3"/>
    <x v="1"/>
  </r>
  <r>
    <x v="7"/>
    <x v="2"/>
    <x v="1"/>
    <n v="22"/>
    <s v="Intermediate"/>
    <n v="0"/>
    <s v="Resistant"/>
    <n v="17"/>
    <s v="Sensitive"/>
    <n v="13"/>
    <s v="Resistant"/>
    <n v="23"/>
    <s v="Intermediate"/>
    <n v="2"/>
    <x v="0"/>
  </r>
  <r>
    <x v="7"/>
    <x v="2"/>
    <x v="1"/>
    <n v="20"/>
    <s v="Intermediate"/>
    <n v="13"/>
    <s v="Resistant"/>
    <n v="18"/>
    <s v="Sensitive"/>
    <n v="0"/>
    <s v="Resistant"/>
    <n v="22"/>
    <s v="Intermediate"/>
    <n v="2"/>
    <x v="0"/>
  </r>
  <r>
    <x v="7"/>
    <x v="2"/>
    <x v="1"/>
    <n v="26"/>
    <s v="Sensitive"/>
    <n v="12"/>
    <s v="Resistant"/>
    <n v="21"/>
    <s v="Sensitive"/>
    <n v="0"/>
    <s v="Resistant"/>
    <n v="22"/>
    <s v="Intermediate"/>
    <n v="2"/>
    <x v="0"/>
  </r>
  <r>
    <x v="7"/>
    <x v="2"/>
    <x v="1"/>
    <n v="17"/>
    <s v="Resistant"/>
    <n v="0"/>
    <s v="Resistant"/>
    <n v="8"/>
    <s v="Resistant"/>
    <n v="0"/>
    <s v="Resistant"/>
    <n v="9"/>
    <s v="Resistant"/>
    <n v="5"/>
    <x v="3"/>
  </r>
  <r>
    <x v="7"/>
    <x v="2"/>
    <x v="1"/>
    <n v="21"/>
    <s v="Intermediate"/>
    <n v="0"/>
    <s v="Resistant"/>
    <n v="18"/>
    <s v="Sensitive"/>
    <n v="12"/>
    <s v="Resistant"/>
    <n v="20"/>
    <s v="Resistant"/>
    <n v="3"/>
    <x v="1"/>
  </r>
  <r>
    <x v="7"/>
    <x v="2"/>
    <x v="1"/>
    <n v="22"/>
    <s v="Intermediate"/>
    <n v="0"/>
    <s v="Resistant"/>
    <n v="18"/>
    <s v="Sensitive"/>
    <n v="19"/>
    <s v="Sensitive"/>
    <n v="25"/>
    <s v="Intermediate"/>
    <n v="1"/>
    <x v="0"/>
  </r>
  <r>
    <x v="7"/>
    <x v="2"/>
    <x v="1"/>
    <n v="24"/>
    <s v="Sensitive"/>
    <n v="16"/>
    <s v="Resistant"/>
    <n v="14"/>
    <s v="Intermediate"/>
    <n v="16"/>
    <s v="Intermediate"/>
    <n v="24"/>
    <s v="Intermediate"/>
    <n v="1"/>
    <x v="0"/>
  </r>
  <r>
    <x v="7"/>
    <x v="2"/>
    <x v="1"/>
    <n v="28"/>
    <s v="Sensitive"/>
    <n v="10"/>
    <s v="Resistant"/>
    <n v="21"/>
    <s v="Sensitive"/>
    <n v="18"/>
    <s v="Sensitive"/>
    <n v="23"/>
    <s v="Intermediate"/>
    <n v="1"/>
    <x v="0"/>
  </r>
  <r>
    <x v="7"/>
    <x v="2"/>
    <x v="1"/>
    <n v="16"/>
    <s v="Resistant"/>
    <n v="0"/>
    <s v="Resistant"/>
    <n v="10"/>
    <s v="Resistant"/>
    <n v="11"/>
    <s v="Resistant"/>
    <n v="9"/>
    <s v="Resistant"/>
    <n v="5"/>
    <x v="3"/>
  </r>
  <r>
    <x v="7"/>
    <x v="2"/>
    <x v="1"/>
    <n v="33"/>
    <s v="Sensitive"/>
    <n v="0"/>
    <s v="Resistant"/>
    <n v="22"/>
    <s v="Sensitive"/>
    <n v="15"/>
    <s v="Intermediate"/>
    <n v="25"/>
    <s v="Intermediate"/>
    <n v="1"/>
    <x v="0"/>
  </r>
  <r>
    <x v="7"/>
    <x v="2"/>
    <x v="1"/>
    <n v="14"/>
    <s v="Resistant"/>
    <n v="0"/>
    <s v="Resistant"/>
    <n v="12"/>
    <s v="Resistant"/>
    <n v="13"/>
    <s v="Resistant"/>
    <n v="0"/>
    <s v="Resistant"/>
    <n v="5"/>
    <x v="3"/>
  </r>
  <r>
    <x v="8"/>
    <x v="2"/>
    <x v="2"/>
    <n v="18"/>
    <s v="Resistant"/>
    <n v="17"/>
    <s v="Resistant"/>
    <n v="16"/>
    <s v="Sensitive"/>
    <n v="0"/>
    <s v="Resistant"/>
    <n v="22"/>
    <s v="Intermediate"/>
    <n v="3"/>
    <x v="1"/>
  </r>
  <r>
    <x v="8"/>
    <x v="2"/>
    <x v="2"/>
    <n v="24"/>
    <s v="Sensitive"/>
    <n v="0"/>
    <s v="Resistant"/>
    <n v="9"/>
    <s v="Resistant"/>
    <n v="0"/>
    <s v="Resistant"/>
    <n v="0"/>
    <s v="Resistant"/>
    <n v="4"/>
    <x v="2"/>
  </r>
  <r>
    <x v="8"/>
    <x v="2"/>
    <x v="2"/>
    <n v="24"/>
    <s v="Sensitive"/>
    <n v="0"/>
    <s v="Resistant"/>
    <n v="8"/>
    <s v="Resistant"/>
    <n v="0"/>
    <s v="Resistant"/>
    <n v="0"/>
    <s v="Resistant"/>
    <n v="4"/>
    <x v="2"/>
  </r>
  <r>
    <x v="8"/>
    <x v="2"/>
    <x v="2"/>
    <n v="20"/>
    <s v="Intermediate"/>
    <n v="0"/>
    <s v="Resistant"/>
    <n v="10"/>
    <s v="Resistant"/>
    <n v="0"/>
    <s v="Resistant"/>
    <n v="11"/>
    <s v="Resistant"/>
    <n v="4"/>
    <x v="2"/>
  </r>
  <r>
    <x v="8"/>
    <x v="2"/>
    <x v="2"/>
    <n v="22"/>
    <s v="Intermediate"/>
    <n v="0"/>
    <s v="Resistant"/>
    <n v="22"/>
    <s v="Sensitive"/>
    <n v="12"/>
    <s v="Resistant"/>
    <n v="10"/>
    <s v="Resistant"/>
    <n v="3"/>
    <x v="1"/>
  </r>
  <r>
    <x v="8"/>
    <x v="2"/>
    <x v="2"/>
    <n v="23"/>
    <s v="Sensitive"/>
    <n v="0"/>
    <s v="Resistant"/>
    <n v="16"/>
    <s v="Sensitive"/>
    <n v="0"/>
    <s v="Resistant"/>
    <n v="25"/>
    <s v="Intermediate"/>
    <n v="2"/>
    <x v="0"/>
  </r>
  <r>
    <x v="8"/>
    <x v="2"/>
    <x v="2"/>
    <n v="21"/>
    <s v="Intermediate"/>
    <n v="0"/>
    <s v="Resistant"/>
    <n v="20"/>
    <s v="Sensitive"/>
    <n v="11"/>
    <s v="Resistant"/>
    <n v="25"/>
    <s v="Intermediate"/>
    <n v="2"/>
    <x v="0"/>
  </r>
  <r>
    <x v="8"/>
    <x v="2"/>
    <x v="2"/>
    <n v="22"/>
    <s v="Intermediate"/>
    <n v="0"/>
    <s v="Resistant"/>
    <n v="21"/>
    <s v="Sensitive"/>
    <n v="15"/>
    <s v="Intermediate"/>
    <n v="0"/>
    <s v="Resistant"/>
    <n v="2"/>
    <x v="0"/>
  </r>
  <r>
    <x v="8"/>
    <x v="2"/>
    <x v="2"/>
    <n v="24"/>
    <s v="Sensitive"/>
    <n v="18"/>
    <s v="Intermediate"/>
    <n v="23"/>
    <s v="Sensitive"/>
    <n v="23"/>
    <s v="Sensitive"/>
    <n v="24"/>
    <s v="Intermediate"/>
    <n v="0"/>
    <x v="0"/>
  </r>
  <r>
    <x v="8"/>
    <x v="2"/>
    <x v="2"/>
    <n v="33"/>
    <s v="Sensitive"/>
    <n v="12"/>
    <s v="Resistant"/>
    <n v="27"/>
    <s v="Sensitive"/>
    <n v="20"/>
    <s v="Sensitive"/>
    <n v="28"/>
    <s v="Sensitive"/>
    <n v="1"/>
    <x v="0"/>
  </r>
  <r>
    <x v="8"/>
    <x v="2"/>
    <x v="2"/>
    <n v="20"/>
    <s v="Intermediate"/>
    <n v="0"/>
    <s v="Resistant"/>
    <n v="19"/>
    <s v="Sensitive"/>
    <n v="14"/>
    <s v="Intermediate"/>
    <n v="23"/>
    <s v="Intermediate"/>
    <n v="1"/>
    <x v="0"/>
  </r>
  <r>
    <x v="8"/>
    <x v="2"/>
    <x v="2"/>
    <n v="26"/>
    <s v="Sensitive"/>
    <n v="0"/>
    <s v="Resistant"/>
    <n v="20"/>
    <s v="Sensitive"/>
    <n v="12"/>
    <s v="Resistant"/>
    <n v="13"/>
    <s v="Resistant"/>
    <n v="3"/>
    <x v="1"/>
  </r>
  <r>
    <x v="8"/>
    <x v="2"/>
    <x v="2"/>
    <n v="25"/>
    <s v="Sensitive"/>
    <n v="0"/>
    <s v="Resistant"/>
    <n v="17"/>
    <s v="Sensitive"/>
    <n v="12"/>
    <s v="Resistant"/>
    <n v="21"/>
    <s v="Resistant"/>
    <n v="3"/>
    <x v="1"/>
  </r>
  <r>
    <x v="8"/>
    <x v="2"/>
    <x v="2"/>
    <n v="21"/>
    <s v="Intermediate"/>
    <n v="0"/>
    <s v="Resistant"/>
    <n v="15"/>
    <s v="Sensitive"/>
    <n v="11"/>
    <s v="Resistant"/>
    <n v="12"/>
    <s v="Resistant"/>
    <n v="3"/>
    <x v="1"/>
  </r>
  <r>
    <x v="8"/>
    <x v="2"/>
    <x v="2"/>
    <n v="30"/>
    <s v="Sensitive"/>
    <n v="0"/>
    <s v="Resistant"/>
    <n v="22"/>
    <s v="Sensitive"/>
    <n v="13"/>
    <s v="Resistant"/>
    <n v="26"/>
    <s v="Sensitive"/>
    <n v="2"/>
    <x v="0"/>
  </r>
  <r>
    <x v="8"/>
    <x v="2"/>
    <x v="2"/>
    <n v="32"/>
    <s v="Sensitive"/>
    <n v="0"/>
    <s v="Resistant"/>
    <n v="19"/>
    <s v="Sensitive"/>
    <n v="0"/>
    <s v="Resistant"/>
    <n v="17"/>
    <s v="Resistant"/>
    <n v="3"/>
    <x v="1"/>
  </r>
  <r>
    <x v="8"/>
    <x v="2"/>
    <x v="2"/>
    <n v="20"/>
    <s v="Intermediate"/>
    <n v="0"/>
    <s v="Resistant"/>
    <n v="19"/>
    <s v="Sensitive"/>
    <n v="11"/>
    <s v="Resistant"/>
    <n v="22"/>
    <s v="Intermediate"/>
    <n v="2"/>
    <x v="0"/>
  </r>
  <r>
    <x v="8"/>
    <x v="2"/>
    <x v="2"/>
    <n v="25"/>
    <s v="Sensitive"/>
    <n v="0"/>
    <s v="Resistant"/>
    <n v="20"/>
    <s v="Sensitive"/>
    <n v="7"/>
    <s v="Resistant"/>
    <n v="12"/>
    <s v="Resistant"/>
    <n v="3"/>
    <x v="1"/>
  </r>
  <r>
    <x v="8"/>
    <x v="2"/>
    <x v="2"/>
    <n v="30"/>
    <s v="Sensitive"/>
    <n v="0"/>
    <s v="Resistant"/>
    <n v="7"/>
    <s v="Resistant"/>
    <n v="0"/>
    <s v="Resistant"/>
    <n v="10"/>
    <s v="Resistant"/>
    <n v="4"/>
    <x v="2"/>
  </r>
  <r>
    <x v="8"/>
    <x v="2"/>
    <x v="2"/>
    <n v="20"/>
    <s v="Intermediate"/>
    <n v="0"/>
    <s v="Resistant"/>
    <n v="21"/>
    <s v="Sensitive"/>
    <n v="13"/>
    <s v="Resistant"/>
    <n v="11"/>
    <s v="Resistant"/>
    <n v="3"/>
    <x v="1"/>
  </r>
  <r>
    <x v="8"/>
    <x v="2"/>
    <x v="2"/>
    <n v="22"/>
    <s v="Intermediate"/>
    <n v="0"/>
    <s v="Resistant"/>
    <n v="21"/>
    <s v="Sensitive"/>
    <n v="12"/>
    <s v="Resistant"/>
    <n v="23"/>
    <s v="Intermediate"/>
    <n v="2"/>
    <x v="0"/>
  </r>
  <r>
    <x v="8"/>
    <x v="2"/>
    <x v="2"/>
    <n v="21"/>
    <s v="Intermediate"/>
    <n v="0"/>
    <s v="Resistant"/>
    <n v="9"/>
    <s v="Resistant"/>
    <n v="14"/>
    <s v="Intermediate"/>
    <n v="0"/>
    <s v="Resistant"/>
    <n v="3"/>
    <x v="1"/>
  </r>
  <r>
    <x v="9"/>
    <x v="3"/>
    <x v="0"/>
    <n v="20"/>
    <s v="Intermediate"/>
    <n v="21"/>
    <s v="Sensitive"/>
    <n v="18"/>
    <s v="Sensitive"/>
    <n v="11"/>
    <s v="Resistant"/>
    <n v="22"/>
    <s v="Intermediate"/>
    <n v="1"/>
    <x v="0"/>
  </r>
  <r>
    <x v="9"/>
    <x v="3"/>
    <x v="0"/>
    <n v="16"/>
    <s v="Resistant"/>
    <n v="20"/>
    <s v="Intermediate"/>
    <n v="27"/>
    <s v="Sensitive"/>
    <n v="19"/>
    <s v="Sensitive"/>
    <n v="16"/>
    <s v="Resistant"/>
    <n v="2"/>
    <x v="0"/>
  </r>
  <r>
    <x v="9"/>
    <x v="3"/>
    <x v="0"/>
    <n v="36"/>
    <s v="Sensitive"/>
    <n v="10"/>
    <s v="Resistant"/>
    <n v="23"/>
    <s v="Sensitive"/>
    <n v="20"/>
    <s v="Sensitive"/>
    <n v="20"/>
    <s v="Resistant"/>
    <n v="2"/>
    <x v="0"/>
  </r>
  <r>
    <x v="9"/>
    <x v="3"/>
    <x v="0"/>
    <n v="31"/>
    <s v="Sensitive"/>
    <n v="9"/>
    <s v="Resistant"/>
    <n v="16"/>
    <s v="Sensitive"/>
    <n v="11"/>
    <s v="Resistant"/>
    <n v="20"/>
    <s v="Resistant"/>
    <n v="3"/>
    <x v="1"/>
  </r>
  <r>
    <x v="9"/>
    <x v="3"/>
    <x v="0"/>
    <n v="30"/>
    <s v="Sensitive"/>
    <n v="20"/>
    <s v="Intermediate"/>
    <n v="28"/>
    <s v="Sensitive"/>
    <n v="35"/>
    <s v="Sensitive"/>
    <n v="15"/>
    <s v="Resistant"/>
    <n v="1"/>
    <x v="0"/>
  </r>
  <r>
    <x v="9"/>
    <x v="3"/>
    <x v="0"/>
    <n v="35"/>
    <s v="Sensitive"/>
    <n v="9"/>
    <s v="Resistant"/>
    <n v="16"/>
    <s v="Sensitive"/>
    <n v="10"/>
    <s v="Resistant"/>
    <n v="13"/>
    <s v="Resistant"/>
    <n v="3"/>
    <x v="1"/>
  </r>
  <r>
    <x v="9"/>
    <x v="3"/>
    <x v="0"/>
    <n v="25"/>
    <s v="Sensitive"/>
    <n v="0"/>
    <s v="Resistant"/>
    <n v="22"/>
    <s v="Sensitive"/>
    <n v="18"/>
    <s v="Sensitive"/>
    <n v="18"/>
    <s v="Resistant"/>
    <n v="2"/>
    <x v="0"/>
  </r>
  <r>
    <x v="9"/>
    <x v="3"/>
    <x v="0"/>
    <n v="23"/>
    <s v="Sensitive"/>
    <n v="0"/>
    <s v="Resistant"/>
    <n v="20"/>
    <s v="Sensitive"/>
    <n v="15"/>
    <s v="Intermediate"/>
    <n v="23"/>
    <s v="Intermediate"/>
    <n v="1"/>
    <x v="0"/>
  </r>
  <r>
    <x v="9"/>
    <x v="3"/>
    <x v="0"/>
    <n v="22"/>
    <s v="Intermediate"/>
    <n v="7"/>
    <s v="Resistant"/>
    <n v="17"/>
    <s v="Sensitive"/>
    <n v="12"/>
    <s v="Resistant"/>
    <n v="18"/>
    <s v="Resistant"/>
    <n v="3"/>
    <x v="1"/>
  </r>
  <r>
    <x v="9"/>
    <x v="3"/>
    <x v="0"/>
    <n v="24"/>
    <s v="Sensitive"/>
    <n v="0"/>
    <s v="Resistant"/>
    <n v="16"/>
    <s v="Sensitive"/>
    <n v="15"/>
    <s v="Intermediate"/>
    <n v="24"/>
    <s v="Intermediate"/>
    <n v="1"/>
    <x v="0"/>
  </r>
  <r>
    <x v="9"/>
    <x v="3"/>
    <x v="0"/>
    <n v="33"/>
    <s v="Sensitive"/>
    <n v="7"/>
    <s v="Resistant"/>
    <n v="17"/>
    <s v="Sensitive"/>
    <n v="11"/>
    <s v="Resistant"/>
    <n v="13"/>
    <s v="Resistant"/>
    <n v="3"/>
    <x v="1"/>
  </r>
  <r>
    <x v="9"/>
    <x v="3"/>
    <x v="0"/>
    <n v="33"/>
    <s v="Sensitive"/>
    <n v="21"/>
    <s v="Sensitive"/>
    <n v="19"/>
    <s v="Sensitive"/>
    <n v="21"/>
    <s v="Sensitive"/>
    <n v="25"/>
    <s v="Intermediate"/>
    <n v="0"/>
    <x v="0"/>
  </r>
  <r>
    <x v="9"/>
    <x v="3"/>
    <x v="0"/>
    <n v="30"/>
    <s v="Sensitive"/>
    <n v="20"/>
    <s v="Intermediate"/>
    <n v="18"/>
    <s v="Sensitive"/>
    <n v="19"/>
    <s v="Sensitive"/>
    <n v="26"/>
    <s v="Sensitive"/>
    <n v="0"/>
    <x v="0"/>
  </r>
  <r>
    <x v="9"/>
    <x v="3"/>
    <x v="0"/>
    <n v="36"/>
    <s v="Sensitive"/>
    <n v="12"/>
    <s v="Resistant"/>
    <n v="21"/>
    <s v="Sensitive"/>
    <n v="20"/>
    <s v="Sensitive"/>
    <n v="19"/>
    <s v="Resistant"/>
    <n v="2"/>
    <x v="0"/>
  </r>
  <r>
    <x v="9"/>
    <x v="3"/>
    <x v="0"/>
    <n v="37"/>
    <s v="Sensitive"/>
    <n v="25"/>
    <s v="Sensitive"/>
    <n v="24"/>
    <s v="Sensitive"/>
    <n v="31"/>
    <s v="Sensitive"/>
    <n v="30"/>
    <s v="Sensitive"/>
    <n v="0"/>
    <x v="0"/>
  </r>
  <r>
    <x v="9"/>
    <x v="3"/>
    <x v="0"/>
    <n v="34"/>
    <s v="Sensitive"/>
    <n v="15"/>
    <s v="Resistant"/>
    <n v="20"/>
    <s v="Sensitive"/>
    <n v="18"/>
    <s v="Sensitive"/>
    <n v="22"/>
    <s v="Intermediate"/>
    <n v="1"/>
    <x v="0"/>
  </r>
  <r>
    <x v="9"/>
    <x v="3"/>
    <x v="0"/>
    <n v="30"/>
    <s v="Sensitive"/>
    <n v="19"/>
    <s v="Intermediate"/>
    <n v="20"/>
    <s v="Sensitive"/>
    <n v="18"/>
    <s v="Sensitive"/>
    <n v="22"/>
    <s v="Intermediate"/>
    <n v="0"/>
    <x v="0"/>
  </r>
  <r>
    <x v="9"/>
    <x v="3"/>
    <x v="0"/>
    <n v="37"/>
    <s v="Sensitive"/>
    <n v="10"/>
    <s v="Resistant"/>
    <n v="12"/>
    <s v="Resistant"/>
    <n v="9"/>
    <s v="Resistant"/>
    <n v="13"/>
    <s v="Resistant"/>
    <n v="4"/>
    <x v="2"/>
  </r>
  <r>
    <x v="9"/>
    <x v="3"/>
    <x v="0"/>
    <n v="30"/>
    <s v="Sensitive"/>
    <n v="17"/>
    <s v="Resistant"/>
    <n v="20"/>
    <s v="Sensitive"/>
    <n v="25"/>
    <s v="Sensitive"/>
    <n v="24"/>
    <s v="Intermediate"/>
    <n v="1"/>
    <x v="0"/>
  </r>
  <r>
    <x v="9"/>
    <x v="3"/>
    <x v="0"/>
    <n v="31"/>
    <s v="Sensitive"/>
    <n v="17"/>
    <s v="Resistant"/>
    <n v="20"/>
    <s v="Sensitive"/>
    <n v="9"/>
    <s v="Resistant"/>
    <n v="23"/>
    <s v="Intermediate"/>
    <n v="2"/>
    <x v="0"/>
  </r>
  <r>
    <x v="9"/>
    <x v="3"/>
    <x v="0"/>
    <n v="25"/>
    <s v="Sensitive"/>
    <n v="0"/>
    <s v="Resistant"/>
    <n v="18"/>
    <s v="Sensitive"/>
    <n v="15"/>
    <s v="Intermediate"/>
    <n v="24"/>
    <s v="Intermediate"/>
    <n v="1"/>
    <x v="0"/>
  </r>
  <r>
    <x v="10"/>
    <x v="3"/>
    <x v="1"/>
    <n v="28"/>
    <s v="Sensitive"/>
    <n v="0"/>
    <s v="Resistant"/>
    <n v="0"/>
    <s v="Resistant"/>
    <n v="10"/>
    <s v="Resistant"/>
    <n v="20"/>
    <s v="Resistant"/>
    <n v="4"/>
    <x v="2"/>
  </r>
  <r>
    <x v="10"/>
    <x v="3"/>
    <x v="1"/>
    <n v="25"/>
    <s v="Sensitive"/>
    <n v="20"/>
    <s v="Intermediate"/>
    <n v="0"/>
    <s v="Resistant"/>
    <n v="10"/>
    <s v="Resistant"/>
    <n v="20"/>
    <s v="Resistant"/>
    <n v="3"/>
    <x v="1"/>
  </r>
  <r>
    <x v="10"/>
    <x v="3"/>
    <x v="1"/>
    <n v="32"/>
    <s v="Sensitive"/>
    <n v="0"/>
    <s v="Resistant"/>
    <n v="15"/>
    <s v="Sensitive"/>
    <n v="10"/>
    <s v="Resistant"/>
    <n v="20"/>
    <s v="Resistant"/>
    <n v="3"/>
    <x v="1"/>
  </r>
  <r>
    <x v="10"/>
    <x v="3"/>
    <x v="1"/>
    <n v="24"/>
    <s v="Sensitive"/>
    <n v="18"/>
    <s v="Intermediate"/>
    <n v="20"/>
    <s v="Sensitive"/>
    <n v="0"/>
    <s v="Resistant"/>
    <n v="25"/>
    <s v="Intermediate"/>
    <n v="1"/>
    <x v="0"/>
  </r>
  <r>
    <x v="10"/>
    <x v="3"/>
    <x v="1"/>
    <n v="28"/>
    <s v="Sensitive"/>
    <n v="20"/>
    <s v="Intermediate"/>
    <n v="7"/>
    <s v="Resistant"/>
    <n v="10"/>
    <s v="Resistant"/>
    <n v="0"/>
    <s v="Resistant"/>
    <n v="3"/>
    <x v="1"/>
  </r>
  <r>
    <x v="10"/>
    <x v="3"/>
    <x v="1"/>
    <n v="25"/>
    <s v="Sensitive"/>
    <n v="0"/>
    <s v="Resistant"/>
    <n v="15"/>
    <s v="Sensitive"/>
    <n v="10"/>
    <s v="Resistant"/>
    <n v="20"/>
    <s v="Resistant"/>
    <n v="3"/>
    <x v="1"/>
  </r>
  <r>
    <x v="10"/>
    <x v="3"/>
    <x v="1"/>
    <n v="25"/>
    <s v="Sensitive"/>
    <n v="0"/>
    <s v="Resistant"/>
    <n v="20"/>
    <s v="Sensitive"/>
    <n v="15"/>
    <s v="Intermediate"/>
    <n v="20"/>
    <s v="Resistant"/>
    <n v="2"/>
    <x v="0"/>
  </r>
  <r>
    <x v="10"/>
    <x v="3"/>
    <x v="1"/>
    <n v="25"/>
    <s v="Sensitive"/>
    <n v="0"/>
    <s v="Resistant"/>
    <n v="20"/>
    <s v="Sensitive"/>
    <n v="10"/>
    <s v="Resistant"/>
    <n v="0"/>
    <s v="Resistant"/>
    <n v="3"/>
    <x v="1"/>
  </r>
  <r>
    <x v="10"/>
    <x v="3"/>
    <x v="1"/>
    <n v="25"/>
    <s v="Sensitive"/>
    <n v="12"/>
    <s v="Resistant"/>
    <n v="9"/>
    <s v="Resistant"/>
    <n v="0"/>
    <s v="Resistant"/>
    <n v="0"/>
    <s v="Resistant"/>
    <n v="4"/>
    <x v="2"/>
  </r>
  <r>
    <x v="10"/>
    <x v="3"/>
    <x v="1"/>
    <n v="25"/>
    <s v="Sensitive"/>
    <n v="20"/>
    <s v="Intermediate"/>
    <n v="15"/>
    <s v="Sensitive"/>
    <n v="7"/>
    <s v="Resistant"/>
    <n v="20"/>
    <s v="Resistant"/>
    <n v="2"/>
    <x v="0"/>
  </r>
  <r>
    <x v="10"/>
    <x v="3"/>
    <x v="1"/>
    <n v="25"/>
    <s v="Sensitive"/>
    <n v="0"/>
    <s v="Resistant"/>
    <n v="20"/>
    <s v="Sensitive"/>
    <n v="20"/>
    <s v="Sensitive"/>
    <n v="20"/>
    <s v="Resistant"/>
    <n v="2"/>
    <x v="0"/>
  </r>
  <r>
    <x v="10"/>
    <x v="3"/>
    <x v="1"/>
    <n v="20"/>
    <s v="Intermediate"/>
    <n v="0"/>
    <s v="Resistant"/>
    <n v="25"/>
    <s v="Sensitive"/>
    <n v="15"/>
    <s v="Intermediate"/>
    <n v="22"/>
    <s v="Intermediate"/>
    <n v="1"/>
    <x v="0"/>
  </r>
  <r>
    <x v="10"/>
    <x v="3"/>
    <x v="1"/>
    <n v="30"/>
    <s v="Sensitive"/>
    <n v="0"/>
    <s v="Resistant"/>
    <n v="20"/>
    <s v="Sensitive"/>
    <n v="12"/>
    <s v="Resistant"/>
    <n v="22"/>
    <s v="Intermediate"/>
    <n v="2"/>
    <x v="0"/>
  </r>
  <r>
    <x v="10"/>
    <x v="3"/>
    <x v="1"/>
    <n v="25"/>
    <s v="Sensitive"/>
    <n v="25"/>
    <s v="Sensitive"/>
    <n v="30"/>
    <s v="Sensitive"/>
    <n v="10"/>
    <s v="Resistant"/>
    <n v="25"/>
    <s v="Intermediate"/>
    <n v="1"/>
    <x v="0"/>
  </r>
  <r>
    <x v="10"/>
    <x v="3"/>
    <x v="1"/>
    <n v="25"/>
    <s v="Sensitive"/>
    <n v="0"/>
    <s v="Resistant"/>
    <n v="0"/>
    <s v="Resistant"/>
    <n v="15"/>
    <s v="Intermediate"/>
    <n v="10"/>
    <s v="Resistant"/>
    <n v="3"/>
    <x v="1"/>
  </r>
  <r>
    <x v="10"/>
    <x v="3"/>
    <x v="1"/>
    <n v="30"/>
    <s v="Sensitive"/>
    <n v="0"/>
    <s v="Resistant"/>
    <n v="17"/>
    <s v="Sensitive"/>
    <n v="12"/>
    <s v="Resistant"/>
    <n v="28"/>
    <s v="Sensitive"/>
    <n v="2"/>
    <x v="0"/>
  </r>
  <r>
    <x v="10"/>
    <x v="3"/>
    <x v="1"/>
    <n v="35"/>
    <s v="Sensitive"/>
    <n v="19"/>
    <s v="Intermediate"/>
    <n v="25"/>
    <s v="Sensitive"/>
    <n v="27"/>
    <s v="Sensitive"/>
    <n v="25"/>
    <s v="Intermediate"/>
    <n v="0"/>
    <x v="0"/>
  </r>
  <r>
    <x v="10"/>
    <x v="3"/>
    <x v="1"/>
    <n v="32"/>
    <s v="Sensitive"/>
    <n v="9"/>
    <s v="Resistant"/>
    <n v="25"/>
    <s v="Sensitive"/>
    <n v="10"/>
    <s v="Resistant"/>
    <n v="25"/>
    <s v="Intermediate"/>
    <n v="2"/>
    <x v="0"/>
  </r>
  <r>
    <x v="10"/>
    <x v="3"/>
    <x v="1"/>
    <n v="23"/>
    <s v="Sensitive"/>
    <n v="0"/>
    <s v="Resistant"/>
    <n v="20"/>
    <s v="Sensitive"/>
    <n v="15"/>
    <s v="Intermediate"/>
    <n v="23"/>
    <s v="Intermediate"/>
    <n v="1"/>
    <x v="0"/>
  </r>
  <r>
    <x v="10"/>
    <x v="3"/>
    <x v="1"/>
    <n v="20"/>
    <s v="Intermediate"/>
    <n v="20"/>
    <s v="Intermediate"/>
    <n v="18"/>
    <s v="Sensitive"/>
    <n v="0"/>
    <s v="Resistant"/>
    <n v="25"/>
    <s v="Intermediate"/>
    <n v="1"/>
    <x v="0"/>
  </r>
  <r>
    <x v="10"/>
    <x v="3"/>
    <x v="1"/>
    <n v="20"/>
    <s v="Intermediate"/>
    <n v="20"/>
    <s v="Intermediate"/>
    <n v="20"/>
    <s v="Sensitive"/>
    <n v="0"/>
    <s v="Resistant"/>
    <n v="28"/>
    <s v="Sensitive"/>
    <n v="1"/>
    <x v="0"/>
  </r>
  <r>
    <x v="11"/>
    <x v="3"/>
    <x v="2"/>
    <n v="20"/>
    <s v="Intermediate"/>
    <n v="0"/>
    <s v="Resistant"/>
    <n v="18"/>
    <s v="Sensitive"/>
    <n v="7"/>
    <s v="Resistant"/>
    <n v="28"/>
    <s v="Sensitive"/>
    <n v="2"/>
    <x v="0"/>
  </r>
  <r>
    <x v="11"/>
    <x v="3"/>
    <x v="2"/>
    <n v="27"/>
    <s v="Sensitive"/>
    <n v="0"/>
    <s v="Resistant"/>
    <n v="20"/>
    <s v="Sensitive"/>
    <n v="7"/>
    <s v="Resistant"/>
    <n v="23"/>
    <s v="Intermediate"/>
    <n v="2"/>
    <x v="0"/>
  </r>
  <r>
    <x v="11"/>
    <x v="3"/>
    <x v="2"/>
    <n v="32"/>
    <s v="Sensitive"/>
    <n v="7"/>
    <s v="Resistant"/>
    <n v="19"/>
    <s v="Sensitive"/>
    <n v="11"/>
    <s v="Resistant"/>
    <n v="20"/>
    <s v="Resistant"/>
    <n v="3"/>
    <x v="1"/>
  </r>
  <r>
    <x v="11"/>
    <x v="3"/>
    <x v="2"/>
    <n v="33"/>
    <s v="Sensitive"/>
    <n v="0"/>
    <s v="Resistant"/>
    <n v="23"/>
    <s v="Sensitive"/>
    <n v="13"/>
    <s v="Resistant"/>
    <n v="23"/>
    <s v="Intermediate"/>
    <n v="2"/>
    <x v="0"/>
  </r>
  <r>
    <x v="11"/>
    <x v="3"/>
    <x v="2"/>
    <n v="27"/>
    <s v="Sensitive"/>
    <n v="7"/>
    <s v="Resistant"/>
    <n v="19"/>
    <s v="Sensitive"/>
    <n v="10"/>
    <s v="Resistant"/>
    <n v="0"/>
    <s v="Resistant"/>
    <n v="3"/>
    <x v="1"/>
  </r>
  <r>
    <x v="11"/>
    <x v="3"/>
    <x v="2"/>
    <n v="35"/>
    <s v="Sensitive"/>
    <n v="0"/>
    <s v="Resistant"/>
    <n v="13"/>
    <s v="Intermediate"/>
    <n v="12"/>
    <s v="Resistant"/>
    <n v="20"/>
    <s v="Resistant"/>
    <n v="3"/>
    <x v="1"/>
  </r>
  <r>
    <x v="11"/>
    <x v="3"/>
    <x v="2"/>
    <n v="20"/>
    <s v="Intermediate"/>
    <n v="25"/>
    <s v="Sensitive"/>
    <n v="18"/>
    <s v="Sensitive"/>
    <n v="0"/>
    <s v="Resistant"/>
    <n v="23"/>
    <s v="Intermediate"/>
    <n v="1"/>
    <x v="0"/>
  </r>
  <r>
    <x v="11"/>
    <x v="3"/>
    <x v="2"/>
    <n v="18"/>
    <s v="Resistant"/>
    <n v="0"/>
    <s v="Resistant"/>
    <n v="17"/>
    <s v="Sensitive"/>
    <n v="11"/>
    <s v="Resistant"/>
    <n v="25"/>
    <s v="Intermediate"/>
    <n v="3"/>
    <x v="1"/>
  </r>
  <r>
    <x v="11"/>
    <x v="3"/>
    <x v="2"/>
    <n v="17"/>
    <s v="Resistant"/>
    <n v="0"/>
    <s v="Resistant"/>
    <n v="17"/>
    <s v="Sensitive"/>
    <n v="15"/>
    <s v="Intermediate"/>
    <n v="20"/>
    <s v="Resistant"/>
    <n v="3"/>
    <x v="1"/>
  </r>
  <r>
    <x v="11"/>
    <x v="3"/>
    <x v="2"/>
    <n v="20"/>
    <s v="Intermediate"/>
    <n v="19"/>
    <s v="Intermediate"/>
    <n v="15"/>
    <s v="Sensitive"/>
    <n v="15"/>
    <s v="Intermediate"/>
    <n v="22"/>
    <s v="Intermediate"/>
    <n v="0"/>
    <x v="0"/>
  </r>
  <r>
    <x v="11"/>
    <x v="3"/>
    <x v="2"/>
    <n v="20"/>
    <s v="Intermediate"/>
    <n v="10"/>
    <s v="Resistant"/>
    <n v="20"/>
    <s v="Sensitive"/>
    <n v="17"/>
    <s v="Intermediate"/>
    <n v="30"/>
    <s v="Sensitive"/>
    <n v="1"/>
    <x v="0"/>
  </r>
  <r>
    <x v="11"/>
    <x v="3"/>
    <x v="2"/>
    <n v="30"/>
    <s v="Sensitive"/>
    <n v="0"/>
    <s v="Resistant"/>
    <n v="15"/>
    <s v="Sensitive"/>
    <n v="15"/>
    <s v="Intermediate"/>
    <n v="13"/>
    <s v="Resistant"/>
    <n v="2"/>
    <x v="0"/>
  </r>
  <r>
    <x v="11"/>
    <x v="3"/>
    <x v="2"/>
    <n v="20"/>
    <s v="Intermediate"/>
    <n v="25"/>
    <s v="Sensitive"/>
    <n v="15"/>
    <s v="Sensitive"/>
    <n v="12"/>
    <s v="Resistant"/>
    <n v="25"/>
    <s v="Intermediate"/>
    <n v="1"/>
    <x v="0"/>
  </r>
  <r>
    <x v="11"/>
    <x v="3"/>
    <x v="2"/>
    <n v="34"/>
    <s v="Sensitive"/>
    <n v="0"/>
    <s v="Resistant"/>
    <n v="20"/>
    <s v="Sensitive"/>
    <n v="15"/>
    <s v="Intermediate"/>
    <n v="20"/>
    <s v="Resistant"/>
    <n v="2"/>
    <x v="0"/>
  </r>
  <r>
    <x v="11"/>
    <x v="3"/>
    <x v="2"/>
    <n v="25"/>
    <s v="Sensitive"/>
    <n v="0"/>
    <s v="Resistant"/>
    <n v="20"/>
    <s v="Sensitive"/>
    <n v="15"/>
    <s v="Intermediate"/>
    <n v="19"/>
    <s v="Resistant"/>
    <n v="2"/>
    <x v="0"/>
  </r>
  <r>
    <x v="11"/>
    <x v="3"/>
    <x v="2"/>
    <n v="25"/>
    <s v="Sensitive"/>
    <n v="7"/>
    <s v="Resistant"/>
    <n v="18"/>
    <s v="Sensitive"/>
    <n v="15"/>
    <s v="Intermediate"/>
    <n v="27"/>
    <s v="Sensitive"/>
    <n v="1"/>
    <x v="0"/>
  </r>
  <r>
    <x v="11"/>
    <x v="3"/>
    <x v="2"/>
    <n v="33"/>
    <s v="Sensitive"/>
    <n v="0"/>
    <s v="Resistant"/>
    <n v="0"/>
    <s v="Resistant"/>
    <n v="12"/>
    <s v="Resistant"/>
    <n v="25"/>
    <s v="Intermediate"/>
    <n v="3"/>
    <x v="1"/>
  </r>
  <r>
    <x v="11"/>
    <x v="3"/>
    <x v="2"/>
    <n v="30"/>
    <s v="Sensitive"/>
    <n v="0"/>
    <s v="Resistant"/>
    <n v="20"/>
    <s v="Sensitive"/>
    <n v="12"/>
    <s v="Resistant"/>
    <n v="23"/>
    <s v="Intermediate"/>
    <n v="2"/>
    <x v="0"/>
  </r>
  <r>
    <x v="11"/>
    <x v="3"/>
    <x v="2"/>
    <n v="23"/>
    <s v="Sensitive"/>
    <n v="30"/>
    <s v="Sensitive"/>
    <n v="20"/>
    <s v="Sensitive"/>
    <n v="12"/>
    <s v="Resistant"/>
    <n v="35"/>
    <s v="Sensitive"/>
    <n v="1"/>
    <x v="0"/>
  </r>
  <r>
    <x v="11"/>
    <x v="3"/>
    <x v="2"/>
    <n v="21"/>
    <s v="Intermediate"/>
    <n v="0"/>
    <s v="Resistant"/>
    <n v="18"/>
    <s v="Sensitive"/>
    <n v="12"/>
    <s v="Resistant"/>
    <n v="20"/>
    <s v="Resistant"/>
    <n v="3"/>
    <x v="1"/>
  </r>
  <r>
    <x v="11"/>
    <x v="3"/>
    <x v="2"/>
    <n v="24"/>
    <s v="Sensitive"/>
    <n v="0"/>
    <s v="Resistant"/>
    <n v="22"/>
    <s v="Sensitive"/>
    <n v="11"/>
    <s v="Resistant"/>
    <n v="23"/>
    <s v="Intermediate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08019-E1EA-456A-889C-7F9B15BF977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Q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IPROFLOXACIN" fld="9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995C-12A1-4CD1-A824-F50916C78C7C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K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UGMENTIN" fld="7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1E386-4A2C-4B1E-93DB-901C09733E2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GENTAMICIN" fld="5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13229-7EE3-478B-8F28-3E5C111E198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K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EFTAZIDIM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46D3C-7172-4F85-B6F0-7E9744E2A8C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MIPENEM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7D289-DB86-4584-AFF2-8A33D774BCD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M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istance Category" fld="14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4447E-D9E5-47B9-B1CE-B20547674B58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istance Category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3F25D-A209-4EC0-9F9F-05D2D540B420}" name="Abattoir_Analysis_Data" displayName="Abattoir_Analysis_Data" ref="A1:O275" totalsRowShown="0" headerRowDxfId="5">
  <tableColumns count="15">
    <tableColumn id="1" xr3:uid="{20A73A78-0F86-4AA2-8D71-D57C8433EFAB}" name="Isolate_ID"/>
    <tableColumn id="15" xr3:uid="{C2F5E718-2554-497E-A89C-449274E6425B}" name="Town"/>
    <tableColumn id="2" xr3:uid="{2C137D64-7E38-4EC9-8671-08E03D92DF9E}" name="Sample Source" dataDxfId="4"/>
    <tableColumn id="3" xr3:uid="{B169318B-4D97-4249-8C7F-5471E1972EC0}" name="IMIPENEM"/>
    <tableColumn id="4" xr3:uid="{601D61D3-73D0-4021-A466-89E09627CAE7}" name="Imipenem Status" dataDxfId="3">
      <calculatedColumnFormula>_xlfn.IFS(D2&lt;=19, "Resistant", D2&lt;=22, "Intermediate", D2&gt;=23, "Sensitive")</calculatedColumnFormula>
    </tableColumn>
    <tableColumn id="5" xr3:uid="{AC2E1A79-FFD0-4D53-9DA2-DE146DE3C1BC}" name="CEFTAZIDIME"/>
    <tableColumn id="6" xr3:uid="{ED264BBD-81CE-4245-ACF8-598DB456D399}" name="Ceftazidime Status" dataDxfId="2">
      <calculatedColumnFormula>_xlfn.IFS(F2&lt;=17, "Resistant", F2&lt;=20, "Intermediate", F2&gt;=21, "Sensitive")</calculatedColumnFormula>
    </tableColumn>
    <tableColumn id="7" xr3:uid="{3B8EE1EF-28D5-4D8F-BB1F-BBF8ABCD3A2D}" name="GENTAMICIN"/>
    <tableColumn id="8" xr3:uid="{6EDBB8E8-11B7-46F3-A202-3E6C0DCB4135}" name="Gentamicin Status">
      <calculatedColumnFormula>_xlfn.IFS(H2&lt;=12, "Resistant", H2&lt;=14, "Intermediate", H2&gt;=15, "Sensitive")</calculatedColumnFormula>
    </tableColumn>
    <tableColumn id="9" xr3:uid="{94E1A037-8799-4290-AB93-B1474F0C5F34}" name="AUGMENTIN"/>
    <tableColumn id="10" xr3:uid="{9530A074-8745-4B27-95EB-69ABB8E856CC}" name="Augmentin Status">
      <calculatedColumnFormula>_xlfn.IFS(J2&lt;=13, "Resistant", J2&lt;=17, "Intermediate", J2&gt;=18, "Sensitive")</calculatedColumnFormula>
    </tableColumn>
    <tableColumn id="11" xr3:uid="{57EF9FE4-438E-4535-BF27-6BEDC8B9E234}" name="CIPROFLOXACIN"/>
    <tableColumn id="12" xr3:uid="{EE7F444A-0254-42CE-BB7E-7B59FF060548}" name="Ciprofloxacin Status" dataDxfId="1">
      <calculatedColumnFormula>_xlfn.IFS(L2&lt;=21, "Resistant", L2&lt;=25, "Intermediate", L2&gt;=26, "Sensitive")</calculatedColumnFormula>
    </tableColumn>
    <tableColumn id="13" xr3:uid="{5685D143-170F-440D-AC6F-416AEF8A1FAF}" name="Resistance Count">
      <calculatedColumnFormula>COUNTIF(E2:M2,"Resistant")</calculatedColumnFormula>
    </tableColumn>
    <tableColumn id="16" xr3:uid="{D2CD1FB7-20B8-4A51-BB4C-1E84D1C6407D}" name="Resistance Category" dataDxfId="0">
      <calculatedColumnFormula>_xlfn.IFS(N2&lt;=2, "Susceptible",N2=3,"MDR",N2=4, "XDR",N2=5, "XDR*")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58B7-6AC9-49BD-BBCA-B88A798FB3C0}">
  <dimension ref="A3:AG36"/>
  <sheetViews>
    <sheetView tabSelected="1" zoomScale="85" zoomScaleNormal="85" workbookViewId="0">
      <selection activeCell="M28" sqref="M28"/>
    </sheetView>
  </sheetViews>
  <sheetFormatPr defaultRowHeight="14.4"/>
  <cols>
    <col min="1" max="1" width="18.77734375" bestFit="1" customWidth="1"/>
    <col min="2" max="2" width="16.44140625" bestFit="1" customWidth="1"/>
    <col min="3" max="3" width="9" bestFit="1" customWidth="1"/>
    <col min="4" max="4" width="8.88671875" bestFit="1" customWidth="1"/>
    <col min="5" max="5" width="11.44140625" bestFit="1" customWidth="1"/>
    <col min="6" max="6" width="5" customWidth="1"/>
    <col min="7" max="7" width="20.6640625" bestFit="1" customWidth="1"/>
    <col min="8" max="8" width="16.44140625" bestFit="1" customWidth="1"/>
    <col min="9" max="9" width="9" bestFit="1" customWidth="1"/>
    <col min="10" max="10" width="8.88671875" bestFit="1" customWidth="1"/>
    <col min="11" max="11" width="11.44140625" bestFit="1" customWidth="1"/>
    <col min="12" max="12" width="5" customWidth="1"/>
    <col min="13" max="13" width="23.6640625" bestFit="1" customWidth="1"/>
    <col min="14" max="14" width="16.44140625" bestFit="1" customWidth="1"/>
    <col min="15" max="15" width="9" bestFit="1" customWidth="1"/>
    <col min="16" max="16" width="8.88671875" bestFit="1" customWidth="1"/>
    <col min="17" max="17" width="11.44140625" bestFit="1" customWidth="1"/>
    <col min="18" max="18" width="8.44140625" bestFit="1" customWidth="1"/>
    <col min="19" max="19" width="18.44140625" bestFit="1" customWidth="1"/>
    <col min="20" max="20" width="8.5546875" bestFit="1" customWidth="1"/>
    <col min="21" max="21" width="8.44140625" bestFit="1" customWidth="1"/>
    <col min="22" max="22" width="26.33203125" bestFit="1" customWidth="1"/>
    <col min="23" max="23" width="26.6640625" bestFit="1" customWidth="1"/>
    <col min="24" max="24" width="18.109375" bestFit="1" customWidth="1"/>
    <col min="25" max="25" width="8.5546875" bestFit="1" customWidth="1"/>
    <col min="26" max="26" width="8.44140625" bestFit="1" customWidth="1"/>
    <col min="27" max="27" width="18.44140625" bestFit="1" customWidth="1"/>
    <col min="28" max="28" width="8.5546875" bestFit="1" customWidth="1"/>
    <col min="29" max="29" width="8.44140625" bestFit="1" customWidth="1"/>
    <col min="30" max="30" width="26.21875" bestFit="1" customWidth="1"/>
    <col min="31" max="31" width="26.5546875" bestFit="1" customWidth="1"/>
    <col min="32" max="32" width="22.88671875" bestFit="1" customWidth="1"/>
    <col min="33" max="33" width="23.21875" bestFit="1" customWidth="1"/>
  </cols>
  <sheetData>
    <row r="3" spans="1:17">
      <c r="A3" s="9" t="s">
        <v>52</v>
      </c>
      <c r="B3" s="9" t="s">
        <v>53</v>
      </c>
      <c r="G3" s="9" t="s">
        <v>54</v>
      </c>
      <c r="H3" s="9" t="s">
        <v>53</v>
      </c>
      <c r="M3" s="9" t="s">
        <v>57</v>
      </c>
      <c r="N3" s="9" t="s">
        <v>53</v>
      </c>
    </row>
    <row r="4" spans="1:17">
      <c r="A4" s="9" t="s">
        <v>50</v>
      </c>
      <c r="B4" t="s">
        <v>48</v>
      </c>
      <c r="C4" t="s">
        <v>49</v>
      </c>
      <c r="D4" t="s">
        <v>47</v>
      </c>
      <c r="E4" t="s">
        <v>51</v>
      </c>
      <c r="G4" s="9" t="s">
        <v>50</v>
      </c>
      <c r="H4" t="s">
        <v>48</v>
      </c>
      <c r="I4" t="s">
        <v>49</v>
      </c>
      <c r="J4" t="s">
        <v>47</v>
      </c>
      <c r="K4" t="s">
        <v>51</v>
      </c>
      <c r="M4" s="9" t="s">
        <v>50</v>
      </c>
      <c r="N4" t="s">
        <v>48</v>
      </c>
      <c r="O4" t="s">
        <v>49</v>
      </c>
      <c r="P4" t="s">
        <v>47</v>
      </c>
      <c r="Q4" t="s">
        <v>51</v>
      </c>
    </row>
    <row r="5" spans="1:17">
      <c r="A5" s="10" t="s">
        <v>13</v>
      </c>
      <c r="B5" s="11">
        <v>1.0948905109489052E-2</v>
      </c>
      <c r="C5" s="11">
        <v>0</v>
      </c>
      <c r="D5" s="11">
        <v>6.569343065693431E-2</v>
      </c>
      <c r="E5" s="11">
        <v>7.6642335766423361E-2</v>
      </c>
      <c r="G5" s="10" t="s">
        <v>13</v>
      </c>
      <c r="H5" s="11">
        <v>2.5547445255474453E-2</v>
      </c>
      <c r="I5" s="11">
        <v>4.7445255474452552E-2</v>
      </c>
      <c r="J5" s="11">
        <v>3.6496350364963502E-3</v>
      </c>
      <c r="K5" s="11">
        <v>7.6642335766423361E-2</v>
      </c>
      <c r="M5" s="10" t="s">
        <v>13</v>
      </c>
      <c r="N5" s="11">
        <v>1.0948905109489052E-2</v>
      </c>
      <c r="O5" s="11">
        <v>0</v>
      </c>
      <c r="P5" s="11">
        <v>6.569343065693431E-2</v>
      </c>
      <c r="Q5" s="11">
        <v>7.6642335766423361E-2</v>
      </c>
    </row>
    <row r="6" spans="1:17">
      <c r="A6" s="10" t="s">
        <v>14</v>
      </c>
      <c r="B6" s="11">
        <v>2.1897810218978103E-2</v>
      </c>
      <c r="C6" s="11">
        <v>7.2992700729927005E-3</v>
      </c>
      <c r="D6" s="11">
        <v>4.7445255474452552E-2</v>
      </c>
      <c r="E6" s="11">
        <v>7.6642335766423361E-2</v>
      </c>
      <c r="G6" s="10" t="s">
        <v>14</v>
      </c>
      <c r="H6" s="11">
        <v>3.6496350364963502E-3</v>
      </c>
      <c r="I6" s="11">
        <v>6.2043795620437957E-2</v>
      </c>
      <c r="J6" s="11">
        <v>1.0948905109489052E-2</v>
      </c>
      <c r="K6" s="11">
        <v>7.6642335766423361E-2</v>
      </c>
      <c r="M6" s="10" t="s">
        <v>14</v>
      </c>
      <c r="N6" s="11">
        <v>2.1897810218978103E-2</v>
      </c>
      <c r="O6" s="11">
        <v>7.2992700729927005E-3</v>
      </c>
      <c r="P6" s="11">
        <v>4.7445255474452552E-2</v>
      </c>
      <c r="Q6" s="11">
        <v>7.6642335766423361E-2</v>
      </c>
    </row>
    <row r="7" spans="1:17">
      <c r="A7" s="10" t="s">
        <v>12</v>
      </c>
      <c r="B7" s="11">
        <v>7.2992700729927005E-3</v>
      </c>
      <c r="C7" s="11">
        <v>3.6496350364963502E-3</v>
      </c>
      <c r="D7" s="11">
        <v>6.569343065693431E-2</v>
      </c>
      <c r="E7" s="11">
        <v>7.6642335766423361E-2</v>
      </c>
      <c r="G7" s="10" t="s">
        <v>12</v>
      </c>
      <c r="H7" s="11">
        <v>1.4598540145985401E-2</v>
      </c>
      <c r="I7" s="11">
        <v>5.1094890510948905E-2</v>
      </c>
      <c r="J7" s="11">
        <v>1.0948905109489052E-2</v>
      </c>
      <c r="K7" s="11">
        <v>7.6642335766423361E-2</v>
      </c>
      <c r="M7" s="10" t="s">
        <v>12</v>
      </c>
      <c r="N7" s="11">
        <v>7.2992700729927005E-3</v>
      </c>
      <c r="O7" s="11">
        <v>3.6496350364963502E-3</v>
      </c>
      <c r="P7" s="11">
        <v>6.569343065693431E-2</v>
      </c>
      <c r="Q7" s="11">
        <v>7.6642335766423361E-2</v>
      </c>
    </row>
    <row r="8" spans="1:17">
      <c r="A8" s="10" t="s">
        <v>4</v>
      </c>
      <c r="B8" s="11">
        <v>2.5547445255474453E-2</v>
      </c>
      <c r="C8" s="11">
        <v>2.5547445255474453E-2</v>
      </c>
      <c r="D8" s="11">
        <v>1.4598540145985401E-2</v>
      </c>
      <c r="E8" s="11">
        <v>6.569343065693431E-2</v>
      </c>
      <c r="G8" s="10" t="s">
        <v>4</v>
      </c>
      <c r="H8" s="11">
        <v>0</v>
      </c>
      <c r="I8" s="11">
        <v>6.2043795620437957E-2</v>
      </c>
      <c r="J8" s="11">
        <v>3.6496350364963502E-3</v>
      </c>
      <c r="K8" s="11">
        <v>6.569343065693431E-2</v>
      </c>
      <c r="M8" s="10" t="s">
        <v>4</v>
      </c>
      <c r="N8" s="11">
        <v>2.5547445255474453E-2</v>
      </c>
      <c r="O8" s="11">
        <v>2.5547445255474453E-2</v>
      </c>
      <c r="P8" s="11">
        <v>1.4598540145985401E-2</v>
      </c>
      <c r="Q8" s="11">
        <v>6.569343065693431E-2</v>
      </c>
    </row>
    <row r="9" spans="1:17">
      <c r="A9" s="10" t="s">
        <v>5</v>
      </c>
      <c r="B9" s="11">
        <v>1.4598540145985401E-2</v>
      </c>
      <c r="C9" s="11">
        <v>7.2992700729927005E-3</v>
      </c>
      <c r="D9" s="11">
        <v>6.569343065693431E-2</v>
      </c>
      <c r="E9" s="11">
        <v>8.7591240875912413E-2</v>
      </c>
      <c r="G9" s="10" t="s">
        <v>5</v>
      </c>
      <c r="H9" s="11">
        <v>1.4598540145985401E-2</v>
      </c>
      <c r="I9" s="11">
        <v>6.569343065693431E-2</v>
      </c>
      <c r="J9" s="11">
        <v>7.2992700729927005E-3</v>
      </c>
      <c r="K9" s="11">
        <v>8.7591240875912413E-2</v>
      </c>
      <c r="M9" s="10" t="s">
        <v>5</v>
      </c>
      <c r="N9" s="11">
        <v>1.4598540145985401E-2</v>
      </c>
      <c r="O9" s="11">
        <v>7.2992700729927005E-3</v>
      </c>
      <c r="P9" s="11">
        <v>6.569343065693431E-2</v>
      </c>
      <c r="Q9" s="11">
        <v>8.7591240875912413E-2</v>
      </c>
    </row>
    <row r="10" spans="1:17">
      <c r="A10" s="10" t="s">
        <v>3</v>
      </c>
      <c r="B10" s="11">
        <v>4.3795620437956206E-2</v>
      </c>
      <c r="C10" s="11">
        <v>1.0948905109489052E-2</v>
      </c>
      <c r="D10" s="11">
        <v>5.8394160583941604E-2</v>
      </c>
      <c r="E10" s="11">
        <v>0.11313868613138686</v>
      </c>
      <c r="G10" s="10" t="s">
        <v>3</v>
      </c>
      <c r="H10" s="11">
        <v>2.5547445255474453E-2</v>
      </c>
      <c r="I10" s="11">
        <v>5.4744525547445258E-2</v>
      </c>
      <c r="J10" s="11">
        <v>3.2846715328467155E-2</v>
      </c>
      <c r="K10" s="11">
        <v>0.11313868613138686</v>
      </c>
      <c r="M10" s="10" t="s">
        <v>3</v>
      </c>
      <c r="N10" s="11">
        <v>4.3795620437956206E-2</v>
      </c>
      <c r="O10" s="11">
        <v>1.0948905109489052E-2</v>
      </c>
      <c r="P10" s="11">
        <v>5.8394160583941604E-2</v>
      </c>
      <c r="Q10" s="11">
        <v>0.11313868613138686</v>
      </c>
    </row>
    <row r="11" spans="1:17">
      <c r="A11" s="10" t="s">
        <v>10</v>
      </c>
      <c r="B11" s="11">
        <v>3.6496350364963501E-2</v>
      </c>
      <c r="C11" s="11">
        <v>1.4598540145985401E-2</v>
      </c>
      <c r="D11" s="11">
        <v>2.1897810218978103E-2</v>
      </c>
      <c r="E11" s="11">
        <v>7.2992700729927001E-2</v>
      </c>
      <c r="G11" s="10" t="s">
        <v>10</v>
      </c>
      <c r="H11" s="11">
        <v>3.6496350364963502E-3</v>
      </c>
      <c r="I11" s="11">
        <v>6.569343065693431E-2</v>
      </c>
      <c r="J11" s="11">
        <v>3.6496350364963502E-3</v>
      </c>
      <c r="K11" s="11">
        <v>7.2992700729927001E-2</v>
      </c>
      <c r="M11" s="10" t="s">
        <v>10</v>
      </c>
      <c r="N11" s="11">
        <v>3.6496350364963501E-2</v>
      </c>
      <c r="O11" s="11">
        <v>1.4598540145985401E-2</v>
      </c>
      <c r="P11" s="11">
        <v>2.1897810218978103E-2</v>
      </c>
      <c r="Q11" s="11">
        <v>7.2992700729927001E-2</v>
      </c>
    </row>
    <row r="12" spans="1:17">
      <c r="A12" s="10" t="s">
        <v>11</v>
      </c>
      <c r="B12" s="11">
        <v>3.6496350364963501E-2</v>
      </c>
      <c r="C12" s="11">
        <v>3.6496350364963502E-3</v>
      </c>
      <c r="D12" s="11">
        <v>4.0145985401459854E-2</v>
      </c>
      <c r="E12" s="11">
        <v>8.0291970802919707E-2</v>
      </c>
      <c r="G12" s="10" t="s">
        <v>11</v>
      </c>
      <c r="H12" s="11">
        <v>3.6496350364963502E-3</v>
      </c>
      <c r="I12" s="11">
        <v>7.6642335766423361E-2</v>
      </c>
      <c r="J12" s="11">
        <v>0</v>
      </c>
      <c r="K12" s="11">
        <v>8.0291970802919707E-2</v>
      </c>
      <c r="M12" s="10" t="s">
        <v>11</v>
      </c>
      <c r="N12" s="11">
        <v>3.6496350364963501E-2</v>
      </c>
      <c r="O12" s="11">
        <v>3.6496350364963502E-3</v>
      </c>
      <c r="P12" s="11">
        <v>4.0145985401459854E-2</v>
      </c>
      <c r="Q12" s="11">
        <v>8.0291970802919707E-2</v>
      </c>
    </row>
    <row r="13" spans="1:17">
      <c r="A13" s="10" t="s">
        <v>9</v>
      </c>
      <c r="B13" s="11">
        <v>4.0145985401459854E-2</v>
      </c>
      <c r="C13" s="11">
        <v>3.2846715328467155E-2</v>
      </c>
      <c r="D13" s="11">
        <v>2.5547445255474453E-2</v>
      </c>
      <c r="E13" s="11">
        <v>9.8540145985401464E-2</v>
      </c>
      <c r="G13" s="10" t="s">
        <v>9</v>
      </c>
      <c r="H13" s="11">
        <v>1.4598540145985401E-2</v>
      </c>
      <c r="I13" s="11">
        <v>6.9343065693430656E-2</v>
      </c>
      <c r="J13" s="11">
        <v>1.4598540145985401E-2</v>
      </c>
      <c r="K13" s="11">
        <v>9.8540145985401464E-2</v>
      </c>
      <c r="M13" s="10" t="s">
        <v>9</v>
      </c>
      <c r="N13" s="11">
        <v>4.0145985401459854E-2</v>
      </c>
      <c r="O13" s="11">
        <v>3.2846715328467155E-2</v>
      </c>
      <c r="P13" s="11">
        <v>2.5547445255474453E-2</v>
      </c>
      <c r="Q13" s="11">
        <v>9.8540145985401464E-2</v>
      </c>
    </row>
    <row r="14" spans="1:17">
      <c r="A14" s="10" t="s">
        <v>7</v>
      </c>
      <c r="B14" s="11">
        <v>3.2846715328467155E-2</v>
      </c>
      <c r="C14" s="11">
        <v>3.6496350364963502E-3</v>
      </c>
      <c r="D14" s="11">
        <v>4.7445255474452552E-2</v>
      </c>
      <c r="E14" s="11">
        <v>8.3941605839416053E-2</v>
      </c>
      <c r="G14" s="10" t="s">
        <v>7</v>
      </c>
      <c r="H14" s="11">
        <v>3.6496350364963502E-3</v>
      </c>
      <c r="I14" s="11">
        <v>8.0291970802919707E-2</v>
      </c>
      <c r="J14" s="11">
        <v>0</v>
      </c>
      <c r="K14" s="11">
        <v>8.3941605839416053E-2</v>
      </c>
      <c r="M14" s="10" t="s">
        <v>7</v>
      </c>
      <c r="N14" s="11">
        <v>3.2846715328467155E-2</v>
      </c>
      <c r="O14" s="11">
        <v>3.6496350364963502E-3</v>
      </c>
      <c r="P14" s="11">
        <v>4.7445255474452552E-2</v>
      </c>
      <c r="Q14" s="11">
        <v>8.3941605839416053E-2</v>
      </c>
    </row>
    <row r="15" spans="1:17">
      <c r="A15" s="10" t="s">
        <v>8</v>
      </c>
      <c r="B15" s="11">
        <v>0</v>
      </c>
      <c r="C15" s="11">
        <v>3.6496350364963502E-3</v>
      </c>
      <c r="D15" s="11">
        <v>8.0291970802919707E-2</v>
      </c>
      <c r="E15" s="11">
        <v>8.3941605839416053E-2</v>
      </c>
      <c r="G15" s="10" t="s">
        <v>8</v>
      </c>
      <c r="H15" s="11">
        <v>3.6496350364963502E-3</v>
      </c>
      <c r="I15" s="11">
        <v>6.9343065693430656E-2</v>
      </c>
      <c r="J15" s="11">
        <v>1.0948905109489052E-2</v>
      </c>
      <c r="K15" s="11">
        <v>8.3941605839416053E-2</v>
      </c>
      <c r="M15" s="10" t="s">
        <v>8</v>
      </c>
      <c r="N15" s="11">
        <v>0</v>
      </c>
      <c r="O15" s="11">
        <v>3.6496350364963502E-3</v>
      </c>
      <c r="P15" s="11">
        <v>8.0291970802919707E-2</v>
      </c>
      <c r="Q15" s="11">
        <v>8.3941605839416053E-2</v>
      </c>
    </row>
    <row r="16" spans="1:17">
      <c r="A16" s="10" t="s">
        <v>6</v>
      </c>
      <c r="B16" s="11">
        <v>2.9197080291970802E-2</v>
      </c>
      <c r="C16" s="11">
        <v>1.0948905109489052E-2</v>
      </c>
      <c r="D16" s="11">
        <v>4.3795620437956206E-2</v>
      </c>
      <c r="E16" s="11">
        <v>8.3941605839416053E-2</v>
      </c>
      <c r="G16" s="10" t="s">
        <v>6</v>
      </c>
      <c r="H16" s="11">
        <v>7.2992700729927005E-3</v>
      </c>
      <c r="I16" s="11">
        <v>6.569343065693431E-2</v>
      </c>
      <c r="J16" s="11">
        <v>1.0948905109489052E-2</v>
      </c>
      <c r="K16" s="11">
        <v>8.3941605839416053E-2</v>
      </c>
      <c r="M16" s="10" t="s">
        <v>6</v>
      </c>
      <c r="N16" s="11">
        <v>2.9197080291970802E-2</v>
      </c>
      <c r="O16" s="11">
        <v>1.0948905109489052E-2</v>
      </c>
      <c r="P16" s="11">
        <v>4.3795620437956206E-2</v>
      </c>
      <c r="Q16" s="11">
        <v>8.3941605839416053E-2</v>
      </c>
    </row>
    <row r="17" spans="1:17">
      <c r="A17" s="10" t="s">
        <v>51</v>
      </c>
      <c r="B17" s="11">
        <v>0.29927007299270075</v>
      </c>
      <c r="C17" s="11">
        <v>0.12408759124087591</v>
      </c>
      <c r="D17" s="11">
        <v>0.57664233576642332</v>
      </c>
      <c r="E17" s="11">
        <v>1</v>
      </c>
      <c r="G17" s="10" t="s">
        <v>51</v>
      </c>
      <c r="H17" s="11">
        <v>0.12043795620437957</v>
      </c>
      <c r="I17" s="11">
        <v>0.77007299270072993</v>
      </c>
      <c r="J17" s="11">
        <v>0.10948905109489052</v>
      </c>
      <c r="K17" s="11">
        <v>1</v>
      </c>
      <c r="M17" s="10" t="s">
        <v>51</v>
      </c>
      <c r="N17" s="11">
        <v>0.29927007299270075</v>
      </c>
      <c r="O17" s="11">
        <v>0.12408759124087591</v>
      </c>
      <c r="P17" s="11">
        <v>0.57664233576642332</v>
      </c>
      <c r="Q17" s="11">
        <v>1</v>
      </c>
    </row>
    <row r="19" spans="1:17">
      <c r="A19" s="9" t="s">
        <v>55</v>
      </c>
      <c r="B19" s="9" t="s">
        <v>53</v>
      </c>
      <c r="G19" s="9" t="s">
        <v>56</v>
      </c>
      <c r="H19" s="9" t="s">
        <v>53</v>
      </c>
    </row>
    <row r="20" spans="1:17">
      <c r="A20" s="9" t="s">
        <v>50</v>
      </c>
      <c r="B20" t="s">
        <v>48</v>
      </c>
      <c r="C20" t="s">
        <v>49</v>
      </c>
      <c r="D20" t="s">
        <v>47</v>
      </c>
      <c r="E20" t="s">
        <v>51</v>
      </c>
      <c r="F20" s="9"/>
      <c r="G20" s="9" t="s">
        <v>50</v>
      </c>
      <c r="H20" t="s">
        <v>48</v>
      </c>
      <c r="I20" t="s">
        <v>49</v>
      </c>
      <c r="J20" t="s">
        <v>47</v>
      </c>
      <c r="K20" t="s">
        <v>51</v>
      </c>
    </row>
    <row r="21" spans="1:17">
      <c r="A21" s="10" t="s">
        <v>13</v>
      </c>
      <c r="B21" s="11">
        <v>0</v>
      </c>
      <c r="C21" s="11">
        <v>1.824817518248175E-2</v>
      </c>
      <c r="D21" s="11">
        <v>5.8394160583941604E-2</v>
      </c>
      <c r="E21" s="11">
        <v>7.6642335766423361E-2</v>
      </c>
      <c r="G21" s="10" t="s">
        <v>13</v>
      </c>
      <c r="H21" s="11">
        <v>1.4598540145985401E-2</v>
      </c>
      <c r="I21" s="11">
        <v>5.4744525547445258E-2</v>
      </c>
      <c r="J21" s="11">
        <v>7.2992700729927005E-3</v>
      </c>
      <c r="K21" s="11">
        <v>7.6642335766423361E-2</v>
      </c>
    </row>
    <row r="22" spans="1:17">
      <c r="A22" s="10" t="s">
        <v>14</v>
      </c>
      <c r="B22" s="11">
        <v>3.6496350364963502E-3</v>
      </c>
      <c r="C22" s="11">
        <v>3.6496350364963502E-3</v>
      </c>
      <c r="D22" s="11">
        <v>6.9343065693430656E-2</v>
      </c>
      <c r="E22" s="11">
        <v>7.6642335766423361E-2</v>
      </c>
      <c r="G22" s="10" t="s">
        <v>14</v>
      </c>
      <c r="H22" s="11">
        <v>2.5547445255474453E-2</v>
      </c>
      <c r="I22" s="11">
        <v>5.1094890510948905E-2</v>
      </c>
      <c r="J22" s="11">
        <v>0</v>
      </c>
      <c r="K22" s="11">
        <v>7.6642335766423361E-2</v>
      </c>
    </row>
    <row r="23" spans="1:17">
      <c r="A23" s="10" t="s">
        <v>12</v>
      </c>
      <c r="B23" s="11">
        <v>0</v>
      </c>
      <c r="C23" s="11">
        <v>3.6496350364963502E-3</v>
      </c>
      <c r="D23" s="11">
        <v>7.2992700729927001E-2</v>
      </c>
      <c r="E23" s="11">
        <v>7.6642335766423361E-2</v>
      </c>
      <c r="G23" s="10" t="s">
        <v>12</v>
      </c>
      <c r="H23" s="11">
        <v>1.0948905109489052E-2</v>
      </c>
      <c r="I23" s="11">
        <v>2.5547445255474453E-2</v>
      </c>
      <c r="J23" s="11">
        <v>4.0145985401459854E-2</v>
      </c>
      <c r="K23" s="11">
        <v>7.6642335766423361E-2</v>
      </c>
    </row>
    <row r="24" spans="1:17">
      <c r="A24" s="10" t="s">
        <v>4</v>
      </c>
      <c r="B24" s="11">
        <v>0</v>
      </c>
      <c r="C24" s="11">
        <v>1.824817518248175E-2</v>
      </c>
      <c r="D24" s="11">
        <v>4.7445255474452552E-2</v>
      </c>
      <c r="E24" s="11">
        <v>6.569343065693431E-2</v>
      </c>
      <c r="G24" s="10" t="s">
        <v>4</v>
      </c>
      <c r="H24" s="11">
        <v>7.2992700729927005E-3</v>
      </c>
      <c r="I24" s="11">
        <v>4.0145985401459854E-2</v>
      </c>
      <c r="J24" s="11">
        <v>1.824817518248175E-2</v>
      </c>
      <c r="K24" s="11">
        <v>6.569343065693431E-2</v>
      </c>
    </row>
    <row r="25" spans="1:17">
      <c r="A25" s="10" t="s">
        <v>5</v>
      </c>
      <c r="B25" s="11">
        <v>0</v>
      </c>
      <c r="C25" s="11">
        <v>7.2992700729927005E-3</v>
      </c>
      <c r="D25" s="11">
        <v>8.0291970802919707E-2</v>
      </c>
      <c r="E25" s="11">
        <v>8.7591240875912413E-2</v>
      </c>
      <c r="G25" s="10" t="s">
        <v>5</v>
      </c>
      <c r="H25" s="11">
        <v>2.9197080291970802E-2</v>
      </c>
      <c r="I25" s="11">
        <v>2.1897810218978103E-2</v>
      </c>
      <c r="J25" s="11">
        <v>3.6496350364963501E-2</v>
      </c>
      <c r="K25" s="11">
        <v>8.7591240875912413E-2</v>
      </c>
    </row>
    <row r="26" spans="1:17">
      <c r="A26" s="10" t="s">
        <v>3</v>
      </c>
      <c r="B26" s="11">
        <v>3.6496350364963502E-3</v>
      </c>
      <c r="C26" s="11">
        <v>2.1897810218978103E-2</v>
      </c>
      <c r="D26" s="11">
        <v>8.7591240875912413E-2</v>
      </c>
      <c r="E26" s="11">
        <v>0.11313868613138686</v>
      </c>
      <c r="G26" s="10" t="s">
        <v>3</v>
      </c>
      <c r="H26" s="11">
        <v>1.4598540145985401E-2</v>
      </c>
      <c r="I26" s="11">
        <v>4.3795620437956206E-2</v>
      </c>
      <c r="J26" s="11">
        <v>5.4744525547445258E-2</v>
      </c>
      <c r="K26" s="11">
        <v>0.11313868613138686</v>
      </c>
    </row>
    <row r="27" spans="1:17">
      <c r="A27" s="10" t="s">
        <v>10</v>
      </c>
      <c r="B27" s="11">
        <v>3.6496350364963502E-3</v>
      </c>
      <c r="C27" s="11">
        <v>1.824817518248175E-2</v>
      </c>
      <c r="D27" s="11">
        <v>5.1094890510948905E-2</v>
      </c>
      <c r="E27" s="11">
        <v>7.2992700729927001E-2</v>
      </c>
      <c r="G27" s="10" t="s">
        <v>10</v>
      </c>
      <c r="H27" s="11">
        <v>1.824817518248175E-2</v>
      </c>
      <c r="I27" s="11">
        <v>3.6496350364963501E-2</v>
      </c>
      <c r="J27" s="11">
        <v>1.824817518248175E-2</v>
      </c>
      <c r="K27" s="11">
        <v>7.2992700729927001E-2</v>
      </c>
    </row>
    <row r="28" spans="1:17">
      <c r="A28" s="10" t="s">
        <v>11</v>
      </c>
      <c r="B28" s="11">
        <v>0</v>
      </c>
      <c r="C28" s="11">
        <v>1.824817518248175E-2</v>
      </c>
      <c r="D28" s="11">
        <v>6.2043795620437957E-2</v>
      </c>
      <c r="E28" s="11">
        <v>8.0291970802919707E-2</v>
      </c>
      <c r="G28" s="10" t="s">
        <v>11</v>
      </c>
      <c r="H28" s="11">
        <v>1.0948905109489052E-2</v>
      </c>
      <c r="I28" s="11">
        <v>6.2043795620437957E-2</v>
      </c>
      <c r="J28" s="11">
        <v>7.2992700729927005E-3</v>
      </c>
      <c r="K28" s="11">
        <v>8.0291970802919707E-2</v>
      </c>
    </row>
    <row r="29" spans="1:17">
      <c r="A29" s="10" t="s">
        <v>9</v>
      </c>
      <c r="B29" s="11">
        <v>2.1897810218978103E-2</v>
      </c>
      <c r="C29" s="11">
        <v>2.9197080291970802E-2</v>
      </c>
      <c r="D29" s="11">
        <v>4.7445255474452552E-2</v>
      </c>
      <c r="E29" s="11">
        <v>9.8540145985401464E-2</v>
      </c>
      <c r="G29" s="10" t="s">
        <v>9</v>
      </c>
      <c r="H29" s="11">
        <v>1.824817518248175E-2</v>
      </c>
      <c r="I29" s="11">
        <v>6.9343065693430656E-2</v>
      </c>
      <c r="J29" s="11">
        <v>1.0948905109489052E-2</v>
      </c>
      <c r="K29" s="11">
        <v>9.8540145985401464E-2</v>
      </c>
    </row>
    <row r="30" spans="1:17">
      <c r="A30" s="10" t="s">
        <v>7</v>
      </c>
      <c r="B30" s="11">
        <v>3.6496350364963502E-3</v>
      </c>
      <c r="C30" s="11">
        <v>1.0948905109489052E-2</v>
      </c>
      <c r="D30" s="11">
        <v>6.9343065693430656E-2</v>
      </c>
      <c r="E30" s="11">
        <v>8.3941605839416053E-2</v>
      </c>
      <c r="G30" s="10" t="s">
        <v>7</v>
      </c>
      <c r="H30" s="11">
        <v>3.6496350364963502E-3</v>
      </c>
      <c r="I30" s="11">
        <v>7.2992700729927001E-2</v>
      </c>
      <c r="J30" s="11">
        <v>7.2992700729927005E-3</v>
      </c>
      <c r="K30" s="11">
        <v>8.3941605839416053E-2</v>
      </c>
    </row>
    <row r="31" spans="1:17">
      <c r="A31" s="10" t="s">
        <v>8</v>
      </c>
      <c r="B31" s="11">
        <v>0</v>
      </c>
      <c r="C31" s="11">
        <v>0</v>
      </c>
      <c r="D31" s="11">
        <v>8.3941605839416053E-2</v>
      </c>
      <c r="E31" s="11">
        <v>8.3941605839416053E-2</v>
      </c>
      <c r="G31" s="10" t="s">
        <v>8</v>
      </c>
      <c r="H31" s="11">
        <v>2.9197080291970802E-2</v>
      </c>
      <c r="I31" s="11">
        <v>2.5547445255474453E-2</v>
      </c>
      <c r="J31" s="11">
        <v>2.9197080291970802E-2</v>
      </c>
      <c r="K31" s="11">
        <v>8.3941605839416053E-2</v>
      </c>
    </row>
    <row r="32" spans="1:17">
      <c r="A32" s="10" t="s">
        <v>6</v>
      </c>
      <c r="B32" s="11">
        <v>3.6496350364963502E-3</v>
      </c>
      <c r="C32" s="11">
        <v>1.824817518248175E-2</v>
      </c>
      <c r="D32" s="11">
        <v>6.2043795620437957E-2</v>
      </c>
      <c r="E32" s="11">
        <v>8.3941605839416053E-2</v>
      </c>
      <c r="G32" s="10" t="s">
        <v>6</v>
      </c>
      <c r="H32" s="11">
        <v>0</v>
      </c>
      <c r="I32" s="11">
        <v>8.3941605839416053E-2</v>
      </c>
      <c r="J32" s="11">
        <v>0</v>
      </c>
      <c r="K32" s="11">
        <v>8.3941605839416053E-2</v>
      </c>
    </row>
    <row r="33" spans="1:33">
      <c r="A33" s="10" t="s">
        <v>51</v>
      </c>
      <c r="B33" s="11">
        <v>4.0145985401459854E-2</v>
      </c>
      <c r="C33" s="11">
        <v>0.16788321167883211</v>
      </c>
      <c r="D33" s="11">
        <v>0.79197080291970801</v>
      </c>
      <c r="E33" s="11">
        <v>1</v>
      </c>
      <c r="G33" s="10" t="s">
        <v>51</v>
      </c>
      <c r="H33" s="11">
        <v>0.18248175182481752</v>
      </c>
      <c r="I33" s="11">
        <v>0.58759124087591241</v>
      </c>
      <c r="J33" s="11">
        <v>0.22992700729927007</v>
      </c>
      <c r="K33" s="11">
        <v>1</v>
      </c>
    </row>
    <row r="36" spans="1:33"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453F-C49D-4DE6-8836-BF8DAB67FE13}">
  <dimension ref="A3:M21"/>
  <sheetViews>
    <sheetView workbookViewId="0">
      <selection activeCell="H27" sqref="H27"/>
    </sheetView>
  </sheetViews>
  <sheetFormatPr defaultRowHeight="14.4"/>
  <cols>
    <col min="1" max="1" width="26" bestFit="1" customWidth="1"/>
    <col min="2" max="2" width="15.5546875" bestFit="1" customWidth="1"/>
    <col min="3" max="3" width="10.5546875" bestFit="1" customWidth="1"/>
    <col min="4" max="4" width="4.44140625" bestFit="1" customWidth="1"/>
    <col min="5" max="5" width="5.44140625" bestFit="1" customWidth="1"/>
    <col min="6" max="6" width="10.77734375" bestFit="1" customWidth="1"/>
    <col min="7" max="7" width="2.88671875" customWidth="1"/>
    <col min="8" max="8" width="26" bestFit="1" customWidth="1"/>
    <col min="9" max="9" width="15.5546875" bestFit="1" customWidth="1"/>
    <col min="10" max="10" width="10.5546875" bestFit="1" customWidth="1"/>
    <col min="11" max="12" width="7" bestFit="1" customWidth="1"/>
    <col min="13" max="13" width="10.77734375" bestFit="1" customWidth="1"/>
  </cols>
  <sheetData>
    <row r="3" spans="1:13">
      <c r="A3" s="9" t="s">
        <v>77</v>
      </c>
      <c r="B3" s="9" t="s">
        <v>53</v>
      </c>
      <c r="H3" s="9" t="s">
        <v>77</v>
      </c>
      <c r="I3" s="9" t="s">
        <v>53</v>
      </c>
    </row>
    <row r="4" spans="1:13">
      <c r="A4" s="9" t="s">
        <v>50</v>
      </c>
      <c r="B4" t="s">
        <v>74</v>
      </c>
      <c r="C4" t="s">
        <v>75</v>
      </c>
      <c r="D4" t="s">
        <v>76</v>
      </c>
      <c r="E4" t="s">
        <v>78</v>
      </c>
      <c r="F4" t="s">
        <v>51</v>
      </c>
      <c r="H4" s="9" t="s">
        <v>50</v>
      </c>
      <c r="I4" t="s">
        <v>74</v>
      </c>
      <c r="J4" t="s">
        <v>75</v>
      </c>
      <c r="K4" t="s">
        <v>76</v>
      </c>
      <c r="L4" t="s">
        <v>78</v>
      </c>
      <c r="M4" t="s">
        <v>51</v>
      </c>
    </row>
    <row r="5" spans="1:13">
      <c r="A5" s="10" t="s">
        <v>61</v>
      </c>
      <c r="B5" s="12">
        <v>17</v>
      </c>
      <c r="C5" s="12">
        <v>43</v>
      </c>
      <c r="D5" s="12">
        <v>3</v>
      </c>
      <c r="E5" s="12"/>
      <c r="F5" s="12">
        <v>63</v>
      </c>
      <c r="H5" s="10" t="s">
        <v>61</v>
      </c>
      <c r="I5" s="11">
        <v>0.26984126984126983</v>
      </c>
      <c r="J5" s="11">
        <v>0.68253968253968256</v>
      </c>
      <c r="K5" s="11">
        <v>4.7619047619047616E-2</v>
      </c>
      <c r="L5" s="11">
        <v>0</v>
      </c>
      <c r="M5" s="11">
        <v>1</v>
      </c>
    </row>
    <row r="6" spans="1:13">
      <c r="A6" s="13" t="s">
        <v>58</v>
      </c>
      <c r="B6" s="12">
        <v>4</v>
      </c>
      <c r="C6" s="12">
        <v>16</v>
      </c>
      <c r="D6" s="12">
        <v>1</v>
      </c>
      <c r="E6" s="12"/>
      <c r="F6" s="12">
        <v>21</v>
      </c>
      <c r="H6" s="13" t="s">
        <v>58</v>
      </c>
      <c r="I6" s="11">
        <v>0.19047619047619047</v>
      </c>
      <c r="J6" s="11">
        <v>0.76190476190476186</v>
      </c>
      <c r="K6" s="11">
        <v>4.7619047619047616E-2</v>
      </c>
      <c r="L6" s="11">
        <v>0</v>
      </c>
      <c r="M6" s="11">
        <v>1</v>
      </c>
    </row>
    <row r="7" spans="1:13">
      <c r="A7" s="13" t="s">
        <v>60</v>
      </c>
      <c r="B7" s="12">
        <v>6</v>
      </c>
      <c r="C7" s="12">
        <v>13</v>
      </c>
      <c r="D7" s="12">
        <v>2</v>
      </c>
      <c r="E7" s="12"/>
      <c r="F7" s="12">
        <v>21</v>
      </c>
      <c r="H7" s="13" t="s">
        <v>60</v>
      </c>
      <c r="I7" s="11">
        <v>0.2857142857142857</v>
      </c>
      <c r="J7" s="11">
        <v>0.61904761904761907</v>
      </c>
      <c r="K7" s="11">
        <v>9.5238095238095233E-2</v>
      </c>
      <c r="L7" s="11">
        <v>0</v>
      </c>
      <c r="M7" s="11">
        <v>1</v>
      </c>
    </row>
    <row r="8" spans="1:13">
      <c r="A8" s="13" t="s">
        <v>59</v>
      </c>
      <c r="B8" s="12">
        <v>7</v>
      </c>
      <c r="C8" s="12">
        <v>14</v>
      </c>
      <c r="D8" s="12"/>
      <c r="E8" s="12"/>
      <c r="F8" s="12">
        <v>21</v>
      </c>
      <c r="H8" s="13" t="s">
        <v>59</v>
      </c>
      <c r="I8" s="11">
        <v>0.33333333333333331</v>
      </c>
      <c r="J8" s="11">
        <v>0.66666666666666663</v>
      </c>
      <c r="K8" s="11">
        <v>0</v>
      </c>
      <c r="L8" s="11">
        <v>0</v>
      </c>
      <c r="M8" s="11">
        <v>1</v>
      </c>
    </row>
    <row r="9" spans="1:13">
      <c r="A9" s="10" t="s">
        <v>62</v>
      </c>
      <c r="B9" s="12">
        <v>14</v>
      </c>
      <c r="C9" s="12">
        <v>52</v>
      </c>
      <c r="D9" s="12">
        <v>5</v>
      </c>
      <c r="E9" s="12">
        <v>2</v>
      </c>
      <c r="F9" s="12">
        <v>73</v>
      </c>
      <c r="H9" s="10" t="s">
        <v>62</v>
      </c>
      <c r="I9" s="11">
        <v>0.19178082191780821</v>
      </c>
      <c r="J9" s="11">
        <v>0.71232876712328763</v>
      </c>
      <c r="K9" s="11">
        <v>6.8493150684931503E-2</v>
      </c>
      <c r="L9" s="11">
        <v>2.7397260273972601E-2</v>
      </c>
      <c r="M9" s="11">
        <v>1</v>
      </c>
    </row>
    <row r="10" spans="1:13">
      <c r="A10" s="13" t="s">
        <v>58</v>
      </c>
      <c r="B10" s="12">
        <v>6</v>
      </c>
      <c r="C10" s="12">
        <v>23</v>
      </c>
      <c r="D10" s="12">
        <v>2</v>
      </c>
      <c r="E10" s="12"/>
      <c r="F10" s="12">
        <v>31</v>
      </c>
      <c r="H10" s="13" t="s">
        <v>58</v>
      </c>
      <c r="I10" s="11">
        <v>0.19354838709677419</v>
      </c>
      <c r="J10" s="11">
        <v>0.74193548387096775</v>
      </c>
      <c r="K10" s="11">
        <v>6.4516129032258063E-2</v>
      </c>
      <c r="L10" s="11">
        <v>0</v>
      </c>
      <c r="M10" s="11">
        <v>1</v>
      </c>
    </row>
    <row r="11" spans="1:13">
      <c r="A11" s="13" t="s">
        <v>60</v>
      </c>
      <c r="B11" s="12">
        <v>6</v>
      </c>
      <c r="C11" s="12">
        <v>9</v>
      </c>
      <c r="D11" s="12">
        <v>1</v>
      </c>
      <c r="E11" s="12">
        <v>2</v>
      </c>
      <c r="F11" s="12">
        <v>18</v>
      </c>
      <c r="H11" s="13" t="s">
        <v>60</v>
      </c>
      <c r="I11" s="11">
        <v>0.33333333333333331</v>
      </c>
      <c r="J11" s="11">
        <v>0.5</v>
      </c>
      <c r="K11" s="11">
        <v>5.5555555555555552E-2</v>
      </c>
      <c r="L11" s="11">
        <v>0.1111111111111111</v>
      </c>
      <c r="M11" s="11">
        <v>1</v>
      </c>
    </row>
    <row r="12" spans="1:13">
      <c r="A12" s="13" t="s">
        <v>59</v>
      </c>
      <c r="B12" s="12">
        <v>2</v>
      </c>
      <c r="C12" s="12">
        <v>20</v>
      </c>
      <c r="D12" s="12">
        <v>2</v>
      </c>
      <c r="E12" s="12"/>
      <c r="F12" s="12">
        <v>24</v>
      </c>
      <c r="H12" s="13" t="s">
        <v>59</v>
      </c>
      <c r="I12" s="11">
        <v>8.3333333333333329E-2</v>
      </c>
      <c r="J12" s="11">
        <v>0.83333333333333337</v>
      </c>
      <c r="K12" s="11">
        <v>8.3333333333333329E-2</v>
      </c>
      <c r="L12" s="11">
        <v>0</v>
      </c>
      <c r="M12" s="11">
        <v>1</v>
      </c>
    </row>
    <row r="13" spans="1:13">
      <c r="A13" s="10" t="s">
        <v>63</v>
      </c>
      <c r="B13" s="12">
        <v>18</v>
      </c>
      <c r="C13" s="12">
        <v>35</v>
      </c>
      <c r="D13" s="12">
        <v>7</v>
      </c>
      <c r="E13" s="12">
        <v>9</v>
      </c>
      <c r="F13" s="12">
        <v>69</v>
      </c>
      <c r="H13" s="10" t="s">
        <v>63</v>
      </c>
      <c r="I13" s="11">
        <v>0.2608695652173913</v>
      </c>
      <c r="J13" s="11">
        <v>0.50724637681159424</v>
      </c>
      <c r="K13" s="11">
        <v>0.10144927536231885</v>
      </c>
      <c r="L13" s="11">
        <v>0.13043478260869565</v>
      </c>
      <c r="M13" s="11">
        <v>1</v>
      </c>
    </row>
    <row r="14" spans="1:13">
      <c r="A14" s="13" t="s">
        <v>58</v>
      </c>
      <c r="B14" s="12">
        <v>3</v>
      </c>
      <c r="C14" s="12">
        <v>15</v>
      </c>
      <c r="D14" s="12">
        <v>3</v>
      </c>
      <c r="E14" s="12">
        <v>6</v>
      </c>
      <c r="F14" s="12">
        <v>27</v>
      </c>
      <c r="H14" s="13" t="s">
        <v>58</v>
      </c>
      <c r="I14" s="11">
        <v>0.1111111111111111</v>
      </c>
      <c r="J14" s="11">
        <v>0.55555555555555558</v>
      </c>
      <c r="K14" s="11">
        <v>0.1111111111111111</v>
      </c>
      <c r="L14" s="11">
        <v>0.22222222222222221</v>
      </c>
      <c r="M14" s="11">
        <v>1</v>
      </c>
    </row>
    <row r="15" spans="1:13">
      <c r="A15" s="13" t="s">
        <v>60</v>
      </c>
      <c r="B15" s="12">
        <v>6</v>
      </c>
      <c r="C15" s="12">
        <v>11</v>
      </c>
      <c r="D15" s="12"/>
      <c r="E15" s="12">
        <v>3</v>
      </c>
      <c r="F15" s="12">
        <v>20</v>
      </c>
      <c r="H15" s="13" t="s">
        <v>60</v>
      </c>
      <c r="I15" s="11">
        <v>0.3</v>
      </c>
      <c r="J15" s="11">
        <v>0.55000000000000004</v>
      </c>
      <c r="K15" s="11">
        <v>0</v>
      </c>
      <c r="L15" s="11">
        <v>0.15</v>
      </c>
      <c r="M15" s="11">
        <v>1</v>
      </c>
    </row>
    <row r="16" spans="1:13">
      <c r="A16" s="13" t="s">
        <v>59</v>
      </c>
      <c r="B16" s="12">
        <v>9</v>
      </c>
      <c r="C16" s="12">
        <v>9</v>
      </c>
      <c r="D16" s="12">
        <v>4</v>
      </c>
      <c r="E16" s="12"/>
      <c r="F16" s="12">
        <v>22</v>
      </c>
      <c r="H16" s="13" t="s">
        <v>59</v>
      </c>
      <c r="I16" s="11">
        <v>0.40909090909090912</v>
      </c>
      <c r="J16" s="11">
        <v>0.40909090909090912</v>
      </c>
      <c r="K16" s="11">
        <v>0.18181818181818182</v>
      </c>
      <c r="L16" s="11">
        <v>0</v>
      </c>
      <c r="M16" s="11">
        <v>1</v>
      </c>
    </row>
    <row r="17" spans="1:13">
      <c r="A17" s="10" t="s">
        <v>64</v>
      </c>
      <c r="B17" s="12">
        <v>27</v>
      </c>
      <c r="C17" s="12">
        <v>34</v>
      </c>
      <c r="D17" s="12">
        <v>8</v>
      </c>
      <c r="E17" s="12"/>
      <c r="F17" s="12">
        <v>69</v>
      </c>
      <c r="H17" s="10" t="s">
        <v>64</v>
      </c>
      <c r="I17" s="11">
        <v>0.39130434782608697</v>
      </c>
      <c r="J17" s="11">
        <v>0.49275362318840582</v>
      </c>
      <c r="K17" s="11">
        <v>0.11594202898550725</v>
      </c>
      <c r="L17" s="11">
        <v>0</v>
      </c>
      <c r="M17" s="11">
        <v>1</v>
      </c>
    </row>
    <row r="18" spans="1:13">
      <c r="A18" s="13" t="s">
        <v>58</v>
      </c>
      <c r="B18" s="12">
        <v>10</v>
      </c>
      <c r="C18" s="12">
        <v>8</v>
      </c>
      <c r="D18" s="12">
        <v>5</v>
      </c>
      <c r="E18" s="12"/>
      <c r="F18" s="12">
        <v>23</v>
      </c>
      <c r="H18" s="13" t="s">
        <v>58</v>
      </c>
      <c r="I18" s="11">
        <v>0.43478260869565216</v>
      </c>
      <c r="J18" s="11">
        <v>0.34782608695652173</v>
      </c>
      <c r="K18" s="11">
        <v>0.21739130434782608</v>
      </c>
      <c r="L18" s="11">
        <v>0</v>
      </c>
      <c r="M18" s="11">
        <v>1</v>
      </c>
    </row>
    <row r="19" spans="1:13">
      <c r="A19" s="13" t="s">
        <v>60</v>
      </c>
      <c r="B19" s="12">
        <v>13</v>
      </c>
      <c r="C19" s="12">
        <v>8</v>
      </c>
      <c r="D19" s="12">
        <v>2</v>
      </c>
      <c r="E19" s="12"/>
      <c r="F19" s="12">
        <v>23</v>
      </c>
      <c r="H19" s="13" t="s">
        <v>60</v>
      </c>
      <c r="I19" s="11">
        <v>0.56521739130434778</v>
      </c>
      <c r="J19" s="11">
        <v>0.34782608695652173</v>
      </c>
      <c r="K19" s="11">
        <v>8.6956521739130432E-2</v>
      </c>
      <c r="L19" s="11">
        <v>0</v>
      </c>
      <c r="M19" s="11">
        <v>1</v>
      </c>
    </row>
    <row r="20" spans="1:13">
      <c r="A20" s="13" t="s">
        <v>59</v>
      </c>
      <c r="B20" s="12">
        <v>4</v>
      </c>
      <c r="C20" s="12">
        <v>18</v>
      </c>
      <c r="D20" s="12">
        <v>1</v>
      </c>
      <c r="E20" s="12"/>
      <c r="F20" s="12">
        <v>23</v>
      </c>
      <c r="H20" s="13" t="s">
        <v>59</v>
      </c>
      <c r="I20" s="11">
        <v>0.17391304347826086</v>
      </c>
      <c r="J20" s="11">
        <v>0.78260869565217395</v>
      </c>
      <c r="K20" s="11">
        <v>4.3478260869565216E-2</v>
      </c>
      <c r="L20" s="11">
        <v>0</v>
      </c>
      <c r="M20" s="11">
        <v>1</v>
      </c>
    </row>
    <row r="21" spans="1:13">
      <c r="A21" s="10" t="s">
        <v>51</v>
      </c>
      <c r="B21" s="12">
        <v>76</v>
      </c>
      <c r="C21" s="12">
        <v>164</v>
      </c>
      <c r="D21" s="12">
        <v>23</v>
      </c>
      <c r="E21" s="12">
        <v>11</v>
      </c>
      <c r="F21" s="12">
        <v>274</v>
      </c>
      <c r="H21" s="10" t="s">
        <v>51</v>
      </c>
      <c r="I21" s="11">
        <v>0.27737226277372262</v>
      </c>
      <c r="J21" s="11">
        <v>0.59854014598540151</v>
      </c>
      <c r="K21" s="11">
        <v>8.3941605839416053E-2</v>
      </c>
      <c r="L21" s="11">
        <v>4.0145985401459854E-2</v>
      </c>
      <c r="M21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"/>
  <sheetViews>
    <sheetView topLeftCell="A6" workbookViewId="0">
      <selection activeCell="B2" sqref="B2:C275"/>
    </sheetView>
  </sheetViews>
  <sheetFormatPr defaultRowHeight="14.4"/>
  <cols>
    <col min="1" max="1" width="9.21875" customWidth="1"/>
    <col min="2" max="2" width="5.21875" customWidth="1"/>
    <col min="3" max="3" width="14.33203125" bestFit="1" customWidth="1"/>
    <col min="4" max="4" width="10.21875" customWidth="1"/>
    <col min="5" max="5" width="14.77734375" customWidth="1"/>
    <col min="6" max="6" width="12.6640625" customWidth="1"/>
    <col min="7" max="7" width="16" customWidth="1"/>
    <col min="8" max="8" width="11.5546875" customWidth="1"/>
    <col min="9" max="9" width="16.88671875" customWidth="1"/>
    <col min="10" max="10" width="11.21875" customWidth="1"/>
    <col min="11" max="11" width="17.44140625" customWidth="1"/>
    <col min="12" max="12" width="14.33203125" customWidth="1"/>
    <col min="13" max="13" width="17.109375" customWidth="1"/>
    <col min="14" max="14" width="15.33203125" customWidth="1"/>
    <col min="15" max="15" width="18.33203125" customWidth="1"/>
  </cols>
  <sheetData>
    <row r="1" spans="1:19" s="5" customFormat="1">
      <c r="A1" t="s">
        <v>79</v>
      </c>
      <c r="B1" s="5" t="s">
        <v>72</v>
      </c>
      <c r="C1" t="s">
        <v>65</v>
      </c>
      <c r="D1" s="6" t="s">
        <v>16</v>
      </c>
      <c r="E1" s="5" t="s">
        <v>66</v>
      </c>
      <c r="F1" s="6" t="s">
        <v>2</v>
      </c>
      <c r="G1" s="6" t="s">
        <v>67</v>
      </c>
      <c r="H1" s="6" t="s">
        <v>0</v>
      </c>
      <c r="I1" s="5" t="s">
        <v>68</v>
      </c>
      <c r="J1" s="6" t="s">
        <v>15</v>
      </c>
      <c r="K1" s="6" t="s">
        <v>71</v>
      </c>
      <c r="L1" s="7" t="s">
        <v>1</v>
      </c>
      <c r="M1" s="5" t="s">
        <v>69</v>
      </c>
      <c r="N1" t="s">
        <v>70</v>
      </c>
      <c r="O1" t="s">
        <v>73</v>
      </c>
    </row>
    <row r="2" spans="1:19">
      <c r="A2" t="s">
        <v>80</v>
      </c>
      <c r="B2" t="s">
        <v>62</v>
      </c>
      <c r="C2" s="14" t="s">
        <v>58</v>
      </c>
      <c r="D2" s="3">
        <v>25</v>
      </c>
      <c r="E2" s="3" t="str">
        <f>_xlfn.IFS(D2&lt;=19, "Resistant", D2&lt;=22, "Intermediate", D2&gt;=23, "Sensitive")</f>
        <v>Sensitive</v>
      </c>
      <c r="F2" s="3">
        <v>20</v>
      </c>
      <c r="G2" s="3" t="str">
        <f>_xlfn.IFS(F2&lt;=17, "Resistant", F2&lt;=20, "Intermediate", F2&gt;=21, "Sensitive")</f>
        <v>Intermediate</v>
      </c>
      <c r="H2" s="3">
        <v>20</v>
      </c>
      <c r="I2" t="str">
        <f>_xlfn.IFS(H2&lt;=12, "Resistant", H2&lt;=14, "Intermediate", H2&gt;=15, "Sensitive")</f>
        <v>Sensitive</v>
      </c>
      <c r="J2" s="3">
        <v>15</v>
      </c>
      <c r="K2" t="str">
        <f>_xlfn.IFS(J2&lt;=13, "Resistant", J2&lt;=17, "Intermediate", J2&gt;=18, "Sensitive")</f>
        <v>Intermediate</v>
      </c>
      <c r="L2" s="4">
        <v>28</v>
      </c>
      <c r="M2" s="8" t="str">
        <f>_xlfn.IFS(L2&lt;=21, "Resistant", L2&lt;=25, "Intermediate", L2&gt;=26, "Sensitive")</f>
        <v>Sensitive</v>
      </c>
      <c r="N2">
        <f>COUNTIF(E2:M2,"Resistant")</f>
        <v>0</v>
      </c>
      <c r="O2" t="str">
        <f t="shared" ref="O2:O65" si="0">_xlfn.IFS(N2&lt;=2, "Susceptible",N2=3,"MDR",N2=4, "XDR",N2=5, "XDR*")</f>
        <v>Susceptible</v>
      </c>
    </row>
    <row r="3" spans="1:19">
      <c r="A3" t="s">
        <v>81</v>
      </c>
      <c r="B3" t="s">
        <v>62</v>
      </c>
      <c r="C3" s="14" t="s">
        <v>58</v>
      </c>
      <c r="D3" s="1">
        <v>25</v>
      </c>
      <c r="E3" s="3" t="str">
        <f t="shared" ref="E3:E66" si="1">_xlfn.IFS(D3&lt;=19, "Resistant", D3&lt;=22, "Intermediate", D3&gt;=23, "Sensitive")</f>
        <v>Sensitive</v>
      </c>
      <c r="F3" s="1">
        <v>25</v>
      </c>
      <c r="G3" s="3" t="str">
        <f t="shared" ref="G3:G66" si="2">_xlfn.IFS(F3&lt;=17, "Resistant", F3&lt;=20, "Intermediate", F3&gt;=21, "Sensitive")</f>
        <v>Sensitive</v>
      </c>
      <c r="H3" s="1">
        <v>20</v>
      </c>
      <c r="I3" t="str">
        <f t="shared" ref="I3:I66" si="3">_xlfn.IFS(H3&lt;=12, "Resistant", H3&lt;=14, "Intermediate", H3&gt;=15, "Sensitive")</f>
        <v>Sensitive</v>
      </c>
      <c r="J3" s="1">
        <v>20</v>
      </c>
      <c r="K3" t="str">
        <f t="shared" ref="K3:K66" si="4">_xlfn.IFS(J3&lt;=13, "Resistant", J3&lt;=17, "Intermediate", J3&gt;=18, "Sensitive")</f>
        <v>Sensitive</v>
      </c>
      <c r="L3" s="2">
        <v>30</v>
      </c>
      <c r="M3" s="8" t="str">
        <f t="shared" ref="M3:M66" si="5">_xlfn.IFS(L3&lt;=21, "Resistant", L3&lt;=25, "Intermediate", L3&gt;=26, "Sensitive")</f>
        <v>Sensitive</v>
      </c>
      <c r="N3">
        <f t="shared" ref="N3:N66" si="6">COUNTIF(E3:M3,"Resistant")</f>
        <v>0</v>
      </c>
      <c r="O3" t="str">
        <f t="shared" si="0"/>
        <v>Susceptible</v>
      </c>
    </row>
    <row r="4" spans="1:19">
      <c r="A4" t="s">
        <v>82</v>
      </c>
      <c r="B4" t="s">
        <v>62</v>
      </c>
      <c r="C4" s="14" t="s">
        <v>58</v>
      </c>
      <c r="D4" s="3">
        <v>30</v>
      </c>
      <c r="E4" s="3" t="str">
        <f t="shared" si="1"/>
        <v>Sensitive</v>
      </c>
      <c r="F4" s="3">
        <v>10</v>
      </c>
      <c r="G4" s="3" t="str">
        <f t="shared" si="2"/>
        <v>Resistant</v>
      </c>
      <c r="H4" s="3">
        <v>20</v>
      </c>
      <c r="I4" t="str">
        <f t="shared" si="3"/>
        <v>Sensitive</v>
      </c>
      <c r="J4" s="3">
        <v>20</v>
      </c>
      <c r="K4" t="str">
        <f t="shared" si="4"/>
        <v>Sensitive</v>
      </c>
      <c r="L4" s="4">
        <v>25</v>
      </c>
      <c r="M4" s="8" t="str">
        <f t="shared" si="5"/>
        <v>Intermediate</v>
      </c>
      <c r="N4">
        <f t="shared" si="6"/>
        <v>1</v>
      </c>
      <c r="O4" t="str">
        <f t="shared" si="0"/>
        <v>Susceptible</v>
      </c>
    </row>
    <row r="5" spans="1:19">
      <c r="A5" t="s">
        <v>83</v>
      </c>
      <c r="B5" t="s">
        <v>62</v>
      </c>
      <c r="C5" s="14" t="s">
        <v>58</v>
      </c>
      <c r="D5" s="1">
        <v>25</v>
      </c>
      <c r="E5" s="3" t="str">
        <f t="shared" si="1"/>
        <v>Sensitive</v>
      </c>
      <c r="F5" s="1">
        <v>20</v>
      </c>
      <c r="G5" s="3" t="str">
        <f t="shared" si="2"/>
        <v>Intermediate</v>
      </c>
      <c r="H5" s="1">
        <v>20</v>
      </c>
      <c r="I5" t="str">
        <f t="shared" si="3"/>
        <v>Sensitive</v>
      </c>
      <c r="J5" s="1">
        <v>25</v>
      </c>
      <c r="K5" t="str">
        <f t="shared" si="4"/>
        <v>Sensitive</v>
      </c>
      <c r="L5" s="2">
        <v>28</v>
      </c>
      <c r="M5" s="8" t="str">
        <f t="shared" si="5"/>
        <v>Sensitive</v>
      </c>
      <c r="N5">
        <f t="shared" si="6"/>
        <v>0</v>
      </c>
      <c r="O5" t="str">
        <f t="shared" si="0"/>
        <v>Susceptible</v>
      </c>
    </row>
    <row r="6" spans="1:19">
      <c r="A6" t="s">
        <v>84</v>
      </c>
      <c r="B6" t="s">
        <v>62</v>
      </c>
      <c r="C6" s="14" t="s">
        <v>58</v>
      </c>
      <c r="D6" s="3">
        <v>25</v>
      </c>
      <c r="E6" s="3" t="str">
        <f t="shared" si="1"/>
        <v>Sensitive</v>
      </c>
      <c r="F6" s="3">
        <v>7</v>
      </c>
      <c r="G6" s="3" t="str">
        <f t="shared" si="2"/>
        <v>Resistant</v>
      </c>
      <c r="H6" s="3">
        <v>20</v>
      </c>
      <c r="I6" t="str">
        <f t="shared" si="3"/>
        <v>Sensitive</v>
      </c>
      <c r="J6" s="3">
        <v>20</v>
      </c>
      <c r="K6" t="str">
        <f t="shared" si="4"/>
        <v>Sensitive</v>
      </c>
      <c r="L6" s="4">
        <v>22</v>
      </c>
      <c r="M6" s="8" t="str">
        <f t="shared" si="5"/>
        <v>Intermediate</v>
      </c>
      <c r="N6">
        <f t="shared" si="6"/>
        <v>1</v>
      </c>
      <c r="O6" t="str">
        <f t="shared" si="0"/>
        <v>Susceptible</v>
      </c>
    </row>
    <row r="7" spans="1:19">
      <c r="A7" t="s">
        <v>85</v>
      </c>
      <c r="B7" t="s">
        <v>62</v>
      </c>
      <c r="C7" s="14" t="s">
        <v>58</v>
      </c>
      <c r="D7" s="1">
        <v>25</v>
      </c>
      <c r="E7" s="3" t="str">
        <f t="shared" si="1"/>
        <v>Sensitive</v>
      </c>
      <c r="F7" s="1">
        <v>0</v>
      </c>
      <c r="G7" s="3" t="str">
        <f t="shared" si="2"/>
        <v>Resistant</v>
      </c>
      <c r="H7" s="1">
        <v>15</v>
      </c>
      <c r="I7" t="str">
        <f t="shared" si="3"/>
        <v>Sensitive</v>
      </c>
      <c r="J7" s="1">
        <v>15</v>
      </c>
      <c r="K7" t="str">
        <f t="shared" si="4"/>
        <v>Intermediate</v>
      </c>
      <c r="L7" s="2">
        <v>25</v>
      </c>
      <c r="M7" s="8" t="str">
        <f t="shared" si="5"/>
        <v>Intermediate</v>
      </c>
      <c r="N7">
        <f t="shared" si="6"/>
        <v>1</v>
      </c>
      <c r="O7" t="str">
        <f t="shared" si="0"/>
        <v>Susceptible</v>
      </c>
      <c r="R7" t="s">
        <v>46</v>
      </c>
      <c r="S7" s="6" t="s">
        <v>16</v>
      </c>
    </row>
    <row r="8" spans="1:19">
      <c r="A8" t="s">
        <v>86</v>
      </c>
      <c r="B8" t="s">
        <v>62</v>
      </c>
      <c r="C8" s="14" t="s">
        <v>58</v>
      </c>
      <c r="D8" s="3">
        <v>20</v>
      </c>
      <c r="E8" s="3" t="str">
        <f t="shared" si="1"/>
        <v>Intermediate</v>
      </c>
      <c r="F8" s="3">
        <v>0</v>
      </c>
      <c r="G8" s="3" t="str">
        <f t="shared" si="2"/>
        <v>Resistant</v>
      </c>
      <c r="H8" s="3">
        <v>22</v>
      </c>
      <c r="I8" t="str">
        <f t="shared" si="3"/>
        <v>Sensitive</v>
      </c>
      <c r="J8" s="3">
        <v>10</v>
      </c>
      <c r="K8" t="str">
        <f t="shared" si="4"/>
        <v>Resistant</v>
      </c>
      <c r="L8" s="4">
        <v>22</v>
      </c>
      <c r="M8" s="8" t="str">
        <f t="shared" si="5"/>
        <v>Intermediate</v>
      </c>
      <c r="N8">
        <f t="shared" si="6"/>
        <v>2</v>
      </c>
      <c r="O8" t="str">
        <f t="shared" si="0"/>
        <v>Susceptible</v>
      </c>
      <c r="R8" t="s">
        <v>47</v>
      </c>
      <c r="S8">
        <f>COUNTIF(E:E, E2)</f>
        <v>158</v>
      </c>
    </row>
    <row r="9" spans="1:19">
      <c r="A9" t="s">
        <v>87</v>
      </c>
      <c r="B9" t="s">
        <v>62</v>
      </c>
      <c r="C9" s="14" t="s">
        <v>58</v>
      </c>
      <c r="D9" s="1">
        <v>25</v>
      </c>
      <c r="E9" s="3" t="str">
        <f t="shared" si="1"/>
        <v>Sensitive</v>
      </c>
      <c r="F9" s="1">
        <v>25</v>
      </c>
      <c r="G9" s="3" t="str">
        <f t="shared" si="2"/>
        <v>Sensitive</v>
      </c>
      <c r="H9" s="1">
        <v>18</v>
      </c>
      <c r="I9" t="str">
        <f t="shared" si="3"/>
        <v>Sensitive</v>
      </c>
      <c r="J9" s="1">
        <v>18</v>
      </c>
      <c r="K9" t="str">
        <f t="shared" si="4"/>
        <v>Sensitive</v>
      </c>
      <c r="L9" s="2">
        <v>22</v>
      </c>
      <c r="M9" s="8" t="str">
        <f t="shared" si="5"/>
        <v>Intermediate</v>
      </c>
      <c r="N9">
        <f t="shared" si="6"/>
        <v>0</v>
      </c>
      <c r="O9" t="str">
        <f t="shared" si="0"/>
        <v>Susceptible</v>
      </c>
      <c r="R9" t="s">
        <v>48</v>
      </c>
      <c r="S9">
        <f>COUNTIF(E:E, E11)</f>
        <v>82</v>
      </c>
    </row>
    <row r="10" spans="1:19">
      <c r="A10" t="s">
        <v>88</v>
      </c>
      <c r="B10" t="s">
        <v>62</v>
      </c>
      <c r="C10" s="14" t="s">
        <v>58</v>
      </c>
      <c r="D10" s="3">
        <v>22</v>
      </c>
      <c r="E10" s="3" t="str">
        <f t="shared" si="1"/>
        <v>Intermediate</v>
      </c>
      <c r="F10" s="3">
        <v>0</v>
      </c>
      <c r="G10" s="3" t="str">
        <f t="shared" si="2"/>
        <v>Resistant</v>
      </c>
      <c r="H10" s="3">
        <v>12</v>
      </c>
      <c r="I10" t="str">
        <f t="shared" si="3"/>
        <v>Resistant</v>
      </c>
      <c r="J10" s="3">
        <v>12</v>
      </c>
      <c r="K10" t="str">
        <f t="shared" si="4"/>
        <v>Resistant</v>
      </c>
      <c r="L10" s="4">
        <v>22</v>
      </c>
      <c r="M10" s="8" t="str">
        <f t="shared" si="5"/>
        <v>Intermediate</v>
      </c>
      <c r="N10">
        <f t="shared" si="6"/>
        <v>3</v>
      </c>
      <c r="O10" t="str">
        <f t="shared" si="0"/>
        <v>MDR</v>
      </c>
      <c r="R10" t="s">
        <v>49</v>
      </c>
      <c r="S10">
        <f>COUNTIF(E:E,E24)</f>
        <v>34</v>
      </c>
    </row>
    <row r="11" spans="1:19">
      <c r="A11" t="s">
        <v>89</v>
      </c>
      <c r="B11" t="s">
        <v>62</v>
      </c>
      <c r="C11" s="14" t="s">
        <v>58</v>
      </c>
      <c r="D11" s="1">
        <v>20</v>
      </c>
      <c r="E11" s="3" t="str">
        <f t="shared" si="1"/>
        <v>Intermediate</v>
      </c>
      <c r="F11" s="1">
        <v>0</v>
      </c>
      <c r="G11" s="3" t="str">
        <f t="shared" si="2"/>
        <v>Resistant</v>
      </c>
      <c r="H11" s="1">
        <v>10</v>
      </c>
      <c r="I11" t="str">
        <f t="shared" si="3"/>
        <v>Resistant</v>
      </c>
      <c r="J11" s="1">
        <v>10</v>
      </c>
      <c r="K11" t="str">
        <f t="shared" si="4"/>
        <v>Resistant</v>
      </c>
      <c r="L11" s="2">
        <v>22</v>
      </c>
      <c r="M11" s="8" t="str">
        <f t="shared" si="5"/>
        <v>Intermediate</v>
      </c>
      <c r="N11">
        <f t="shared" si="6"/>
        <v>3</v>
      </c>
      <c r="O11" t="str">
        <f t="shared" si="0"/>
        <v>MDR</v>
      </c>
      <c r="S11">
        <f>SUM(S8:S10)</f>
        <v>274</v>
      </c>
    </row>
    <row r="12" spans="1:19">
      <c r="A12" t="s">
        <v>90</v>
      </c>
      <c r="B12" t="s">
        <v>62</v>
      </c>
      <c r="C12" s="14" t="s">
        <v>58</v>
      </c>
      <c r="D12" s="3">
        <v>28</v>
      </c>
      <c r="E12" s="3" t="str">
        <f t="shared" si="1"/>
        <v>Sensitive</v>
      </c>
      <c r="F12" s="3">
        <v>20</v>
      </c>
      <c r="G12" s="3" t="str">
        <f t="shared" si="2"/>
        <v>Intermediate</v>
      </c>
      <c r="H12" s="3">
        <v>18</v>
      </c>
      <c r="I12" t="str">
        <f t="shared" si="3"/>
        <v>Sensitive</v>
      </c>
      <c r="J12" s="3">
        <v>20</v>
      </c>
      <c r="K12" t="str">
        <f t="shared" si="4"/>
        <v>Sensitive</v>
      </c>
      <c r="L12" s="4">
        <v>25</v>
      </c>
      <c r="M12" s="8" t="str">
        <f t="shared" si="5"/>
        <v>Intermediate</v>
      </c>
      <c r="N12">
        <f t="shared" si="6"/>
        <v>0</v>
      </c>
      <c r="O12" t="str">
        <f t="shared" si="0"/>
        <v>Susceptible</v>
      </c>
    </row>
    <row r="13" spans="1:19">
      <c r="A13" t="s">
        <v>91</v>
      </c>
      <c r="B13" t="s">
        <v>62</v>
      </c>
      <c r="C13" s="14" t="s">
        <v>58</v>
      </c>
      <c r="D13" s="1">
        <v>27</v>
      </c>
      <c r="E13" s="3" t="str">
        <f t="shared" si="1"/>
        <v>Sensitive</v>
      </c>
      <c r="F13" s="1">
        <v>27</v>
      </c>
      <c r="G13" s="3" t="str">
        <f t="shared" si="2"/>
        <v>Sensitive</v>
      </c>
      <c r="H13" s="1">
        <v>20</v>
      </c>
      <c r="I13" t="str">
        <f t="shared" si="3"/>
        <v>Sensitive</v>
      </c>
      <c r="J13" s="1">
        <v>20</v>
      </c>
      <c r="K13" t="str">
        <f t="shared" si="4"/>
        <v>Sensitive</v>
      </c>
      <c r="L13" s="2">
        <v>28</v>
      </c>
      <c r="M13" s="8" t="str">
        <f t="shared" si="5"/>
        <v>Sensitive</v>
      </c>
      <c r="N13">
        <f t="shared" si="6"/>
        <v>0</v>
      </c>
      <c r="O13" t="str">
        <f t="shared" si="0"/>
        <v>Susceptible</v>
      </c>
    </row>
    <row r="14" spans="1:19">
      <c r="A14" t="s">
        <v>92</v>
      </c>
      <c r="B14" t="s">
        <v>62</v>
      </c>
      <c r="C14" s="14" t="s">
        <v>58</v>
      </c>
      <c r="D14" s="3">
        <v>22</v>
      </c>
      <c r="E14" s="3" t="str">
        <f t="shared" si="1"/>
        <v>Intermediate</v>
      </c>
      <c r="F14" s="3">
        <v>12</v>
      </c>
      <c r="G14" s="3" t="str">
        <f t="shared" si="2"/>
        <v>Resistant</v>
      </c>
      <c r="H14" s="3">
        <v>0</v>
      </c>
      <c r="I14" t="str">
        <f t="shared" si="3"/>
        <v>Resistant</v>
      </c>
      <c r="J14" s="3">
        <v>8</v>
      </c>
      <c r="K14" t="str">
        <f t="shared" si="4"/>
        <v>Resistant</v>
      </c>
      <c r="L14" s="4">
        <v>0</v>
      </c>
      <c r="M14" s="8" t="str">
        <f t="shared" si="5"/>
        <v>Resistant</v>
      </c>
      <c r="N14">
        <f t="shared" si="6"/>
        <v>4</v>
      </c>
      <c r="O14" t="str">
        <f t="shared" si="0"/>
        <v>XDR</v>
      </c>
    </row>
    <row r="15" spans="1:19">
      <c r="A15" t="s">
        <v>93</v>
      </c>
      <c r="B15" t="s">
        <v>62</v>
      </c>
      <c r="C15" s="14" t="s">
        <v>58</v>
      </c>
      <c r="D15" s="1">
        <v>22</v>
      </c>
      <c r="E15" s="3" t="str">
        <f t="shared" si="1"/>
        <v>Intermediate</v>
      </c>
      <c r="F15" s="1">
        <v>0</v>
      </c>
      <c r="G15" s="3" t="str">
        <f t="shared" si="2"/>
        <v>Resistant</v>
      </c>
      <c r="H15" s="1">
        <v>20</v>
      </c>
      <c r="I15" t="str">
        <f t="shared" si="3"/>
        <v>Sensitive</v>
      </c>
      <c r="J15" s="1">
        <v>20</v>
      </c>
      <c r="K15" t="str">
        <f t="shared" si="4"/>
        <v>Sensitive</v>
      </c>
      <c r="L15" s="2">
        <v>20</v>
      </c>
      <c r="M15" s="8" t="str">
        <f t="shared" si="5"/>
        <v>Resistant</v>
      </c>
      <c r="N15">
        <f t="shared" si="6"/>
        <v>2</v>
      </c>
      <c r="O15" t="str">
        <f t="shared" si="0"/>
        <v>Susceptible</v>
      </c>
    </row>
    <row r="16" spans="1:19">
      <c r="A16" t="s">
        <v>94</v>
      </c>
      <c r="B16" t="s">
        <v>62</v>
      </c>
      <c r="C16" s="14" t="s">
        <v>58</v>
      </c>
      <c r="D16" s="3">
        <v>24</v>
      </c>
      <c r="E16" s="3" t="str">
        <f t="shared" si="1"/>
        <v>Sensitive</v>
      </c>
      <c r="F16" s="3">
        <v>15</v>
      </c>
      <c r="G16" s="3" t="str">
        <f t="shared" si="2"/>
        <v>Resistant</v>
      </c>
      <c r="H16" s="3">
        <v>25</v>
      </c>
      <c r="I16" t="str">
        <f t="shared" si="3"/>
        <v>Sensitive</v>
      </c>
      <c r="J16" s="3">
        <v>25</v>
      </c>
      <c r="K16" t="str">
        <f t="shared" si="4"/>
        <v>Sensitive</v>
      </c>
      <c r="L16" s="4">
        <v>20</v>
      </c>
      <c r="M16" s="8" t="str">
        <f t="shared" si="5"/>
        <v>Resistant</v>
      </c>
      <c r="N16">
        <f t="shared" si="6"/>
        <v>2</v>
      </c>
      <c r="O16" t="str">
        <f t="shared" si="0"/>
        <v>Susceptible</v>
      </c>
    </row>
    <row r="17" spans="1:15">
      <c r="A17" t="s">
        <v>95</v>
      </c>
      <c r="B17" t="s">
        <v>62</v>
      </c>
      <c r="C17" s="14" t="s">
        <v>58</v>
      </c>
      <c r="D17" s="1">
        <v>35</v>
      </c>
      <c r="E17" s="3" t="str">
        <f t="shared" si="1"/>
        <v>Sensitive</v>
      </c>
      <c r="F17" s="1">
        <v>20</v>
      </c>
      <c r="G17" s="3" t="str">
        <f t="shared" si="2"/>
        <v>Intermediate</v>
      </c>
      <c r="H17" s="1">
        <v>25</v>
      </c>
      <c r="I17" t="str">
        <f t="shared" si="3"/>
        <v>Sensitive</v>
      </c>
      <c r="J17" s="1">
        <v>25</v>
      </c>
      <c r="K17" t="str">
        <f t="shared" si="4"/>
        <v>Sensitive</v>
      </c>
      <c r="L17" s="2">
        <v>30</v>
      </c>
      <c r="M17" s="8" t="str">
        <f t="shared" si="5"/>
        <v>Sensitive</v>
      </c>
      <c r="N17">
        <f t="shared" si="6"/>
        <v>0</v>
      </c>
      <c r="O17" t="str">
        <f t="shared" si="0"/>
        <v>Susceptible</v>
      </c>
    </row>
    <row r="18" spans="1:15">
      <c r="A18" t="s">
        <v>96</v>
      </c>
      <c r="B18" t="s">
        <v>62</v>
      </c>
      <c r="C18" s="14" t="s">
        <v>58</v>
      </c>
      <c r="D18" s="3">
        <v>27</v>
      </c>
      <c r="E18" s="3" t="str">
        <f t="shared" si="1"/>
        <v>Sensitive</v>
      </c>
      <c r="F18" s="3">
        <v>27</v>
      </c>
      <c r="G18" s="3" t="str">
        <f t="shared" si="2"/>
        <v>Sensitive</v>
      </c>
      <c r="H18" s="3">
        <v>20</v>
      </c>
      <c r="I18" t="str">
        <f t="shared" si="3"/>
        <v>Sensitive</v>
      </c>
      <c r="J18" s="3">
        <v>20</v>
      </c>
      <c r="K18" t="str">
        <f t="shared" si="4"/>
        <v>Sensitive</v>
      </c>
      <c r="L18" s="4">
        <v>0</v>
      </c>
      <c r="M18" s="8" t="str">
        <f t="shared" si="5"/>
        <v>Resistant</v>
      </c>
      <c r="N18">
        <f t="shared" si="6"/>
        <v>1</v>
      </c>
      <c r="O18" t="str">
        <f t="shared" si="0"/>
        <v>Susceptible</v>
      </c>
    </row>
    <row r="19" spans="1:15">
      <c r="A19" t="s">
        <v>97</v>
      </c>
      <c r="B19" t="s">
        <v>62</v>
      </c>
      <c r="C19" s="14" t="s">
        <v>58</v>
      </c>
      <c r="D19" s="1">
        <v>20</v>
      </c>
      <c r="E19" s="3" t="str">
        <f t="shared" si="1"/>
        <v>Intermediate</v>
      </c>
      <c r="F19" s="1">
        <v>22</v>
      </c>
      <c r="G19" s="3" t="str">
        <f t="shared" si="2"/>
        <v>Sensitive</v>
      </c>
      <c r="H19" s="1">
        <v>0</v>
      </c>
      <c r="I19" t="str">
        <f t="shared" si="3"/>
        <v>Resistant</v>
      </c>
      <c r="J19" s="1">
        <v>0</v>
      </c>
      <c r="K19" t="str">
        <f t="shared" si="4"/>
        <v>Resistant</v>
      </c>
      <c r="L19" s="2">
        <v>0</v>
      </c>
      <c r="M19" s="8" t="str">
        <f t="shared" si="5"/>
        <v>Resistant</v>
      </c>
      <c r="N19">
        <f t="shared" si="6"/>
        <v>3</v>
      </c>
      <c r="O19" t="str">
        <f t="shared" si="0"/>
        <v>MDR</v>
      </c>
    </row>
    <row r="20" spans="1:15">
      <c r="A20" t="s">
        <v>98</v>
      </c>
      <c r="B20" t="s">
        <v>62</v>
      </c>
      <c r="C20" s="14" t="s">
        <v>58</v>
      </c>
      <c r="D20" s="3">
        <v>25</v>
      </c>
      <c r="E20" s="3" t="str">
        <f t="shared" si="1"/>
        <v>Sensitive</v>
      </c>
      <c r="F20" s="3">
        <v>25</v>
      </c>
      <c r="G20" s="3" t="str">
        <f t="shared" si="2"/>
        <v>Sensitive</v>
      </c>
      <c r="H20" s="3">
        <v>13</v>
      </c>
      <c r="I20" t="str">
        <f t="shared" si="3"/>
        <v>Intermediate</v>
      </c>
      <c r="J20" s="3">
        <v>20</v>
      </c>
      <c r="K20" t="str">
        <f t="shared" si="4"/>
        <v>Sensitive</v>
      </c>
      <c r="L20" s="4">
        <v>22</v>
      </c>
      <c r="M20" s="8" t="str">
        <f t="shared" si="5"/>
        <v>Intermediate</v>
      </c>
      <c r="N20">
        <f t="shared" si="6"/>
        <v>0</v>
      </c>
      <c r="O20" t="str">
        <f t="shared" si="0"/>
        <v>Susceptible</v>
      </c>
    </row>
    <row r="21" spans="1:15">
      <c r="A21" t="s">
        <v>99</v>
      </c>
      <c r="B21" t="s">
        <v>62</v>
      </c>
      <c r="C21" s="14" t="s">
        <v>58</v>
      </c>
      <c r="D21" s="1">
        <v>18</v>
      </c>
      <c r="E21" s="3" t="str">
        <f t="shared" si="1"/>
        <v>Resistant</v>
      </c>
      <c r="F21" s="1">
        <v>27</v>
      </c>
      <c r="G21" s="3" t="str">
        <f t="shared" si="2"/>
        <v>Sensitive</v>
      </c>
      <c r="H21" s="1">
        <v>20</v>
      </c>
      <c r="I21" t="str">
        <f t="shared" si="3"/>
        <v>Sensitive</v>
      </c>
      <c r="J21" s="1">
        <v>0</v>
      </c>
      <c r="K21" t="str">
        <f t="shared" si="4"/>
        <v>Resistant</v>
      </c>
      <c r="L21" s="2">
        <v>25</v>
      </c>
      <c r="M21" s="8" t="str">
        <f t="shared" si="5"/>
        <v>Intermediate</v>
      </c>
      <c r="N21">
        <f t="shared" si="6"/>
        <v>2</v>
      </c>
      <c r="O21" t="str">
        <f t="shared" si="0"/>
        <v>Susceptible</v>
      </c>
    </row>
    <row r="22" spans="1:15">
      <c r="A22" t="s">
        <v>100</v>
      </c>
      <c r="B22" t="s">
        <v>62</v>
      </c>
      <c r="C22" s="14" t="s">
        <v>58</v>
      </c>
      <c r="D22" s="3">
        <v>27</v>
      </c>
      <c r="E22" s="3" t="str">
        <f t="shared" si="1"/>
        <v>Sensitive</v>
      </c>
      <c r="F22" s="3">
        <v>15</v>
      </c>
      <c r="G22" s="3" t="str">
        <f t="shared" si="2"/>
        <v>Resistant</v>
      </c>
      <c r="H22" s="3">
        <v>18</v>
      </c>
      <c r="I22" t="str">
        <f t="shared" si="3"/>
        <v>Sensitive</v>
      </c>
      <c r="J22" s="3">
        <v>15</v>
      </c>
      <c r="K22" t="str">
        <f t="shared" si="4"/>
        <v>Intermediate</v>
      </c>
      <c r="L22" s="4">
        <v>25</v>
      </c>
      <c r="M22" s="8" t="str">
        <f t="shared" si="5"/>
        <v>Intermediate</v>
      </c>
      <c r="N22">
        <f t="shared" si="6"/>
        <v>1</v>
      </c>
      <c r="O22" t="str">
        <f t="shared" si="0"/>
        <v>Susceptible</v>
      </c>
    </row>
    <row r="23" spans="1:15">
      <c r="A23" t="s">
        <v>101</v>
      </c>
      <c r="B23" t="s">
        <v>62</v>
      </c>
      <c r="C23" s="14" t="s">
        <v>58</v>
      </c>
      <c r="D23" s="1">
        <v>20</v>
      </c>
      <c r="E23" s="3" t="str">
        <f t="shared" si="1"/>
        <v>Intermediate</v>
      </c>
      <c r="F23" s="1">
        <v>22</v>
      </c>
      <c r="G23" s="3" t="str">
        <f t="shared" si="2"/>
        <v>Sensitive</v>
      </c>
      <c r="H23" s="1">
        <v>10</v>
      </c>
      <c r="I23" t="str">
        <f t="shared" si="3"/>
        <v>Resistant</v>
      </c>
      <c r="J23" s="1">
        <v>20</v>
      </c>
      <c r="K23" t="str">
        <f t="shared" si="4"/>
        <v>Sensitive</v>
      </c>
      <c r="L23" s="2">
        <v>22</v>
      </c>
      <c r="M23" s="8" t="str">
        <f t="shared" si="5"/>
        <v>Intermediate</v>
      </c>
      <c r="N23">
        <f t="shared" si="6"/>
        <v>1</v>
      </c>
      <c r="O23" t="str">
        <f t="shared" si="0"/>
        <v>Susceptible</v>
      </c>
    </row>
    <row r="24" spans="1:15">
      <c r="A24" t="s">
        <v>102</v>
      </c>
      <c r="B24" t="s">
        <v>62</v>
      </c>
      <c r="C24" s="14" t="s">
        <v>58</v>
      </c>
      <c r="D24" s="3">
        <v>16</v>
      </c>
      <c r="E24" s="3" t="str">
        <f t="shared" si="1"/>
        <v>Resistant</v>
      </c>
      <c r="F24" s="3">
        <v>25</v>
      </c>
      <c r="G24" s="3" t="str">
        <f t="shared" si="2"/>
        <v>Sensitive</v>
      </c>
      <c r="H24" s="3">
        <v>20</v>
      </c>
      <c r="I24" t="str">
        <f t="shared" si="3"/>
        <v>Sensitive</v>
      </c>
      <c r="J24" s="3">
        <v>0</v>
      </c>
      <c r="K24" t="str">
        <f t="shared" si="4"/>
        <v>Resistant</v>
      </c>
      <c r="L24" s="4">
        <v>30</v>
      </c>
      <c r="M24" s="8" t="str">
        <f t="shared" si="5"/>
        <v>Sensitive</v>
      </c>
      <c r="N24">
        <f t="shared" si="6"/>
        <v>2</v>
      </c>
      <c r="O24" t="str">
        <f t="shared" si="0"/>
        <v>Susceptible</v>
      </c>
    </row>
    <row r="25" spans="1:15">
      <c r="A25" t="s">
        <v>103</v>
      </c>
      <c r="B25" t="s">
        <v>62</v>
      </c>
      <c r="C25" s="14" t="s">
        <v>58</v>
      </c>
      <c r="D25" s="1">
        <v>20</v>
      </c>
      <c r="E25" s="3" t="str">
        <f t="shared" si="1"/>
        <v>Intermediate</v>
      </c>
      <c r="F25" s="1">
        <v>20</v>
      </c>
      <c r="G25" s="3" t="str">
        <f t="shared" si="2"/>
        <v>Intermediate</v>
      </c>
      <c r="H25" s="1">
        <v>20</v>
      </c>
      <c r="I25" t="str">
        <f t="shared" si="3"/>
        <v>Sensitive</v>
      </c>
      <c r="J25" s="1">
        <v>20</v>
      </c>
      <c r="K25" t="str">
        <f t="shared" si="4"/>
        <v>Sensitive</v>
      </c>
      <c r="L25" s="2">
        <v>20</v>
      </c>
      <c r="M25" s="8" t="str">
        <f t="shared" si="5"/>
        <v>Resistant</v>
      </c>
      <c r="N25">
        <f t="shared" si="6"/>
        <v>1</v>
      </c>
      <c r="O25" t="str">
        <f t="shared" si="0"/>
        <v>Susceptible</v>
      </c>
    </row>
    <row r="26" spans="1:15">
      <c r="A26" t="s">
        <v>104</v>
      </c>
      <c r="B26" t="s">
        <v>62</v>
      </c>
      <c r="C26" s="14" t="s">
        <v>58</v>
      </c>
      <c r="D26" s="3">
        <v>20</v>
      </c>
      <c r="E26" s="3" t="str">
        <f t="shared" si="1"/>
        <v>Intermediate</v>
      </c>
      <c r="F26" s="3">
        <v>10</v>
      </c>
      <c r="G26" s="3" t="str">
        <f t="shared" si="2"/>
        <v>Resistant</v>
      </c>
      <c r="H26" s="3">
        <v>15</v>
      </c>
      <c r="I26" t="str">
        <f t="shared" si="3"/>
        <v>Sensitive</v>
      </c>
      <c r="J26" s="3">
        <v>0</v>
      </c>
      <c r="K26" t="str">
        <f t="shared" si="4"/>
        <v>Resistant</v>
      </c>
      <c r="L26" s="4">
        <v>15</v>
      </c>
      <c r="M26" s="8" t="str">
        <f t="shared" si="5"/>
        <v>Resistant</v>
      </c>
      <c r="N26">
        <f t="shared" si="6"/>
        <v>3</v>
      </c>
      <c r="O26" t="str">
        <f t="shared" si="0"/>
        <v>MDR</v>
      </c>
    </row>
    <row r="27" spans="1:15">
      <c r="A27" t="s">
        <v>105</v>
      </c>
      <c r="B27" t="s">
        <v>62</v>
      </c>
      <c r="C27" s="14" t="s">
        <v>58</v>
      </c>
      <c r="D27" s="1">
        <v>30</v>
      </c>
      <c r="E27" s="3" t="str">
        <f t="shared" si="1"/>
        <v>Sensitive</v>
      </c>
      <c r="F27" s="1">
        <v>15</v>
      </c>
      <c r="G27" s="3" t="str">
        <f t="shared" si="2"/>
        <v>Resistant</v>
      </c>
      <c r="H27" s="1">
        <v>15</v>
      </c>
      <c r="I27" t="str">
        <f t="shared" si="3"/>
        <v>Sensitive</v>
      </c>
      <c r="J27" s="1">
        <v>12</v>
      </c>
      <c r="K27" t="str">
        <f t="shared" si="4"/>
        <v>Resistant</v>
      </c>
      <c r="L27" s="2">
        <v>0</v>
      </c>
      <c r="M27" s="8" t="str">
        <f t="shared" si="5"/>
        <v>Resistant</v>
      </c>
      <c r="N27">
        <f t="shared" si="6"/>
        <v>3</v>
      </c>
      <c r="O27" t="str">
        <f t="shared" si="0"/>
        <v>MDR</v>
      </c>
    </row>
    <row r="28" spans="1:15">
      <c r="A28" t="s">
        <v>106</v>
      </c>
      <c r="B28" t="s">
        <v>62</v>
      </c>
      <c r="C28" s="14" t="s">
        <v>58</v>
      </c>
      <c r="D28" s="3">
        <v>37</v>
      </c>
      <c r="E28" s="3" t="str">
        <f t="shared" si="1"/>
        <v>Sensitive</v>
      </c>
      <c r="F28" s="3">
        <v>15</v>
      </c>
      <c r="G28" s="3" t="str">
        <f t="shared" si="2"/>
        <v>Resistant</v>
      </c>
      <c r="H28" s="3">
        <v>20</v>
      </c>
      <c r="I28" t="str">
        <f t="shared" si="3"/>
        <v>Sensitive</v>
      </c>
      <c r="J28" s="3">
        <v>24</v>
      </c>
      <c r="K28" t="str">
        <f t="shared" si="4"/>
        <v>Sensitive</v>
      </c>
      <c r="L28" s="4">
        <v>20</v>
      </c>
      <c r="M28" s="8" t="str">
        <f t="shared" si="5"/>
        <v>Resistant</v>
      </c>
      <c r="N28">
        <f t="shared" si="6"/>
        <v>2</v>
      </c>
      <c r="O28" t="str">
        <f t="shared" si="0"/>
        <v>Susceptible</v>
      </c>
    </row>
    <row r="29" spans="1:15">
      <c r="A29" t="s">
        <v>107</v>
      </c>
      <c r="B29" t="s">
        <v>62</v>
      </c>
      <c r="C29" s="14" t="s">
        <v>58</v>
      </c>
      <c r="D29" s="1">
        <v>18</v>
      </c>
      <c r="E29" s="3" t="str">
        <f t="shared" si="1"/>
        <v>Resistant</v>
      </c>
      <c r="F29" s="1">
        <v>0</v>
      </c>
      <c r="G29" s="3" t="str">
        <f t="shared" si="2"/>
        <v>Resistant</v>
      </c>
      <c r="H29" s="1">
        <v>18</v>
      </c>
      <c r="I29" t="str">
        <f t="shared" si="3"/>
        <v>Sensitive</v>
      </c>
      <c r="J29" s="1">
        <v>10</v>
      </c>
      <c r="K29" t="str">
        <f t="shared" si="4"/>
        <v>Resistant</v>
      </c>
      <c r="L29" s="2">
        <v>22</v>
      </c>
      <c r="M29" s="8" t="str">
        <f t="shared" si="5"/>
        <v>Intermediate</v>
      </c>
      <c r="N29">
        <f t="shared" si="6"/>
        <v>3</v>
      </c>
      <c r="O29" t="str">
        <f t="shared" si="0"/>
        <v>MDR</v>
      </c>
    </row>
    <row r="30" spans="1:15">
      <c r="A30" t="s">
        <v>108</v>
      </c>
      <c r="B30" t="s">
        <v>62</v>
      </c>
      <c r="C30" s="14" t="s">
        <v>58</v>
      </c>
      <c r="D30" s="3">
        <v>21</v>
      </c>
      <c r="E30" s="3" t="str">
        <f t="shared" si="1"/>
        <v>Intermediate</v>
      </c>
      <c r="F30" s="3">
        <v>18</v>
      </c>
      <c r="G30" s="3" t="str">
        <f t="shared" si="2"/>
        <v>Intermediate</v>
      </c>
      <c r="H30" s="3">
        <v>15</v>
      </c>
      <c r="I30" t="str">
        <f t="shared" si="3"/>
        <v>Sensitive</v>
      </c>
      <c r="J30" s="3">
        <v>12</v>
      </c>
      <c r="K30" t="str">
        <f t="shared" si="4"/>
        <v>Resistant</v>
      </c>
      <c r="L30" s="4">
        <v>25</v>
      </c>
      <c r="M30" s="8" t="str">
        <f t="shared" si="5"/>
        <v>Intermediate</v>
      </c>
      <c r="N30">
        <f t="shared" si="6"/>
        <v>1</v>
      </c>
      <c r="O30" t="str">
        <f t="shared" si="0"/>
        <v>Susceptible</v>
      </c>
    </row>
    <row r="31" spans="1:15">
      <c r="A31" t="s">
        <v>109</v>
      </c>
      <c r="B31" t="s">
        <v>62</v>
      </c>
      <c r="C31" s="14" t="s">
        <v>58</v>
      </c>
      <c r="D31" s="1">
        <v>20</v>
      </c>
      <c r="E31" s="3" t="str">
        <f t="shared" si="1"/>
        <v>Intermediate</v>
      </c>
      <c r="F31" s="1">
        <v>0</v>
      </c>
      <c r="G31" s="3" t="str">
        <f t="shared" si="2"/>
        <v>Resistant</v>
      </c>
      <c r="H31" s="1">
        <v>12</v>
      </c>
      <c r="I31" t="str">
        <f t="shared" si="3"/>
        <v>Resistant</v>
      </c>
      <c r="J31" s="1">
        <v>7</v>
      </c>
      <c r="K31" t="str">
        <f t="shared" si="4"/>
        <v>Resistant</v>
      </c>
      <c r="L31" s="2">
        <v>10</v>
      </c>
      <c r="M31" s="8" t="str">
        <f t="shared" si="5"/>
        <v>Resistant</v>
      </c>
      <c r="N31">
        <f t="shared" si="6"/>
        <v>4</v>
      </c>
      <c r="O31" t="str">
        <f t="shared" si="0"/>
        <v>XDR</v>
      </c>
    </row>
    <row r="32" spans="1:15">
      <c r="A32" t="s">
        <v>110</v>
      </c>
      <c r="B32" t="s">
        <v>62</v>
      </c>
      <c r="C32" s="14" t="s">
        <v>58</v>
      </c>
      <c r="D32" s="3">
        <v>20</v>
      </c>
      <c r="E32" s="3" t="str">
        <f t="shared" si="1"/>
        <v>Intermediate</v>
      </c>
      <c r="F32" s="3">
        <v>20</v>
      </c>
      <c r="G32" s="3" t="str">
        <f t="shared" si="2"/>
        <v>Intermediate</v>
      </c>
      <c r="H32" s="3">
        <v>19</v>
      </c>
      <c r="I32" t="str">
        <f t="shared" si="3"/>
        <v>Sensitive</v>
      </c>
      <c r="J32" s="3">
        <v>15</v>
      </c>
      <c r="K32" t="str">
        <f t="shared" si="4"/>
        <v>Intermediate</v>
      </c>
      <c r="L32" s="4">
        <v>25</v>
      </c>
      <c r="M32" s="8" t="str">
        <f t="shared" si="5"/>
        <v>Intermediate</v>
      </c>
      <c r="N32">
        <f t="shared" si="6"/>
        <v>0</v>
      </c>
      <c r="O32" t="str">
        <f t="shared" si="0"/>
        <v>Susceptible</v>
      </c>
    </row>
    <row r="33" spans="1:15">
      <c r="A33" t="s">
        <v>111</v>
      </c>
      <c r="B33" t="s">
        <v>62</v>
      </c>
      <c r="C33" s="14" t="s">
        <v>60</v>
      </c>
      <c r="D33">
        <v>25</v>
      </c>
      <c r="E33" s="3" t="str">
        <f t="shared" si="1"/>
        <v>Sensitive</v>
      </c>
      <c r="F33">
        <v>10</v>
      </c>
      <c r="G33" s="3" t="str">
        <f t="shared" si="2"/>
        <v>Resistant</v>
      </c>
      <c r="H33">
        <v>19</v>
      </c>
      <c r="I33" t="str">
        <f t="shared" si="3"/>
        <v>Sensitive</v>
      </c>
      <c r="J33">
        <v>23</v>
      </c>
      <c r="K33" t="str">
        <f t="shared" si="4"/>
        <v>Sensitive</v>
      </c>
      <c r="L33">
        <v>25</v>
      </c>
      <c r="M33" s="8" t="str">
        <f t="shared" si="5"/>
        <v>Intermediate</v>
      </c>
      <c r="N33">
        <f t="shared" si="6"/>
        <v>1</v>
      </c>
      <c r="O33" t="str">
        <f t="shared" si="0"/>
        <v>Susceptible</v>
      </c>
    </row>
    <row r="34" spans="1:15">
      <c r="A34" t="s">
        <v>112</v>
      </c>
      <c r="B34" t="s">
        <v>62</v>
      </c>
      <c r="C34" s="14" t="s">
        <v>60</v>
      </c>
      <c r="D34">
        <v>26</v>
      </c>
      <c r="E34" s="3" t="str">
        <f t="shared" si="1"/>
        <v>Sensitive</v>
      </c>
      <c r="F34">
        <v>10</v>
      </c>
      <c r="G34" s="3" t="str">
        <f t="shared" si="2"/>
        <v>Resistant</v>
      </c>
      <c r="H34">
        <v>21</v>
      </c>
      <c r="I34" t="str">
        <f t="shared" si="3"/>
        <v>Sensitive</v>
      </c>
      <c r="J34">
        <v>24</v>
      </c>
      <c r="K34" t="str">
        <f t="shared" si="4"/>
        <v>Sensitive</v>
      </c>
      <c r="L34">
        <v>25</v>
      </c>
      <c r="M34" s="8" t="str">
        <f t="shared" si="5"/>
        <v>Intermediate</v>
      </c>
      <c r="N34">
        <f t="shared" si="6"/>
        <v>1</v>
      </c>
      <c r="O34" t="str">
        <f t="shared" si="0"/>
        <v>Susceptible</v>
      </c>
    </row>
    <row r="35" spans="1:15">
      <c r="A35" t="s">
        <v>113</v>
      </c>
      <c r="B35" t="s">
        <v>62</v>
      </c>
      <c r="C35" s="14" t="s">
        <v>60</v>
      </c>
      <c r="D35">
        <v>20</v>
      </c>
      <c r="E35" s="3" t="str">
        <f t="shared" si="1"/>
        <v>Intermediate</v>
      </c>
      <c r="F35">
        <v>0</v>
      </c>
      <c r="G35" s="3" t="str">
        <f t="shared" si="2"/>
        <v>Resistant</v>
      </c>
      <c r="H35">
        <v>12</v>
      </c>
      <c r="I35" t="str">
        <f t="shared" si="3"/>
        <v>Resistant</v>
      </c>
      <c r="J35">
        <v>16</v>
      </c>
      <c r="K35" t="str">
        <f t="shared" si="4"/>
        <v>Intermediate</v>
      </c>
      <c r="L35">
        <v>21</v>
      </c>
      <c r="M35" s="8" t="str">
        <f t="shared" si="5"/>
        <v>Resistant</v>
      </c>
      <c r="N35">
        <f t="shared" si="6"/>
        <v>3</v>
      </c>
      <c r="O35" t="str">
        <f t="shared" si="0"/>
        <v>MDR</v>
      </c>
    </row>
    <row r="36" spans="1:15">
      <c r="A36" t="s">
        <v>114</v>
      </c>
      <c r="B36" t="s">
        <v>62</v>
      </c>
      <c r="C36" s="14" t="s">
        <v>60</v>
      </c>
      <c r="D36">
        <v>22</v>
      </c>
      <c r="E36" s="3" t="str">
        <f t="shared" si="1"/>
        <v>Intermediate</v>
      </c>
      <c r="F36">
        <v>0</v>
      </c>
      <c r="G36" s="3" t="str">
        <f t="shared" si="2"/>
        <v>Resistant</v>
      </c>
      <c r="H36">
        <v>18</v>
      </c>
      <c r="I36" t="str">
        <f t="shared" si="3"/>
        <v>Sensitive</v>
      </c>
      <c r="J36">
        <v>0</v>
      </c>
      <c r="K36" t="str">
        <f t="shared" si="4"/>
        <v>Resistant</v>
      </c>
      <c r="L36">
        <v>20</v>
      </c>
      <c r="M36" s="8" t="str">
        <f t="shared" si="5"/>
        <v>Resistant</v>
      </c>
      <c r="N36">
        <f t="shared" si="6"/>
        <v>3</v>
      </c>
      <c r="O36" t="str">
        <f t="shared" si="0"/>
        <v>MDR</v>
      </c>
    </row>
    <row r="37" spans="1:15">
      <c r="A37" t="s">
        <v>115</v>
      </c>
      <c r="B37" t="s">
        <v>62</v>
      </c>
      <c r="C37" s="14" t="s">
        <v>60</v>
      </c>
      <c r="D37">
        <v>16</v>
      </c>
      <c r="E37" s="3" t="str">
        <f t="shared" si="1"/>
        <v>Resistant</v>
      </c>
      <c r="F37">
        <v>9</v>
      </c>
      <c r="G37" s="3" t="str">
        <f t="shared" si="2"/>
        <v>Resistant</v>
      </c>
      <c r="H37">
        <v>16</v>
      </c>
      <c r="I37" t="str">
        <f t="shared" si="3"/>
        <v>Sensitive</v>
      </c>
      <c r="J37">
        <v>18</v>
      </c>
      <c r="K37" t="str">
        <f t="shared" si="4"/>
        <v>Sensitive</v>
      </c>
      <c r="L37">
        <v>22</v>
      </c>
      <c r="M37" s="8" t="str">
        <f t="shared" si="5"/>
        <v>Intermediate</v>
      </c>
      <c r="N37">
        <f t="shared" si="6"/>
        <v>2</v>
      </c>
      <c r="O37" t="str">
        <f t="shared" si="0"/>
        <v>Susceptible</v>
      </c>
    </row>
    <row r="38" spans="1:15">
      <c r="A38" t="s">
        <v>116</v>
      </c>
      <c r="B38" t="s">
        <v>62</v>
      </c>
      <c r="C38" s="14" t="s">
        <v>60</v>
      </c>
      <c r="D38">
        <v>18</v>
      </c>
      <c r="E38" s="3" t="str">
        <f t="shared" si="1"/>
        <v>Resistant</v>
      </c>
      <c r="F38">
        <v>10</v>
      </c>
      <c r="G38" s="3" t="str">
        <f t="shared" si="2"/>
        <v>Resistant</v>
      </c>
      <c r="H38">
        <v>19</v>
      </c>
      <c r="I38" t="str">
        <f t="shared" si="3"/>
        <v>Sensitive</v>
      </c>
      <c r="J38">
        <v>8</v>
      </c>
      <c r="K38" t="str">
        <f t="shared" si="4"/>
        <v>Resistant</v>
      </c>
      <c r="L38">
        <v>23</v>
      </c>
      <c r="M38" s="8" t="str">
        <f t="shared" si="5"/>
        <v>Intermediate</v>
      </c>
      <c r="N38">
        <f t="shared" si="6"/>
        <v>3</v>
      </c>
      <c r="O38" t="str">
        <f t="shared" si="0"/>
        <v>MDR</v>
      </c>
    </row>
    <row r="39" spans="1:15">
      <c r="A39" t="s">
        <v>117</v>
      </c>
      <c r="B39" t="s">
        <v>62</v>
      </c>
      <c r="C39" s="14" t="s">
        <v>60</v>
      </c>
      <c r="D39">
        <v>22</v>
      </c>
      <c r="E39" s="3" t="str">
        <f t="shared" si="1"/>
        <v>Intermediate</v>
      </c>
      <c r="F39">
        <v>11</v>
      </c>
      <c r="G39" s="3" t="str">
        <f t="shared" si="2"/>
        <v>Resistant</v>
      </c>
      <c r="H39">
        <v>18</v>
      </c>
      <c r="I39" t="str">
        <f t="shared" si="3"/>
        <v>Sensitive</v>
      </c>
      <c r="J39">
        <v>19</v>
      </c>
      <c r="K39" t="str">
        <f t="shared" si="4"/>
        <v>Sensitive</v>
      </c>
      <c r="L39">
        <v>25</v>
      </c>
      <c r="M39" s="8" t="str">
        <f t="shared" si="5"/>
        <v>Intermediate</v>
      </c>
      <c r="N39">
        <f t="shared" si="6"/>
        <v>1</v>
      </c>
      <c r="O39" t="str">
        <f t="shared" si="0"/>
        <v>Susceptible</v>
      </c>
    </row>
    <row r="40" spans="1:15">
      <c r="A40" t="s">
        <v>118</v>
      </c>
      <c r="B40" t="s">
        <v>62</v>
      </c>
      <c r="C40" s="14" t="s">
        <v>60</v>
      </c>
      <c r="D40">
        <v>28</v>
      </c>
      <c r="E40" s="3" t="str">
        <f t="shared" si="1"/>
        <v>Sensitive</v>
      </c>
      <c r="F40">
        <v>0</v>
      </c>
      <c r="G40" s="3" t="str">
        <f t="shared" si="2"/>
        <v>Resistant</v>
      </c>
      <c r="H40">
        <v>20</v>
      </c>
      <c r="I40" t="str">
        <f t="shared" si="3"/>
        <v>Sensitive</v>
      </c>
      <c r="J40">
        <v>10</v>
      </c>
      <c r="K40" t="str">
        <f t="shared" si="4"/>
        <v>Resistant</v>
      </c>
      <c r="L40">
        <v>0</v>
      </c>
      <c r="M40" s="8" t="str">
        <f t="shared" si="5"/>
        <v>Resistant</v>
      </c>
      <c r="N40">
        <f t="shared" si="6"/>
        <v>3</v>
      </c>
      <c r="O40" t="str">
        <f t="shared" si="0"/>
        <v>MDR</v>
      </c>
    </row>
    <row r="41" spans="1:15">
      <c r="A41" t="s">
        <v>119</v>
      </c>
      <c r="B41" t="s">
        <v>62</v>
      </c>
      <c r="C41" s="14" t="s">
        <v>60</v>
      </c>
      <c r="D41">
        <v>19</v>
      </c>
      <c r="E41" s="3" t="str">
        <f t="shared" si="1"/>
        <v>Resistant</v>
      </c>
      <c r="F41">
        <v>8</v>
      </c>
      <c r="G41" s="3" t="str">
        <f t="shared" si="2"/>
        <v>Resistant</v>
      </c>
      <c r="H41">
        <v>20</v>
      </c>
      <c r="I41" t="str">
        <f t="shared" si="3"/>
        <v>Sensitive</v>
      </c>
      <c r="J41">
        <v>12</v>
      </c>
      <c r="K41" t="str">
        <f t="shared" si="4"/>
        <v>Resistant</v>
      </c>
      <c r="L41">
        <v>0</v>
      </c>
      <c r="M41" s="8" t="str">
        <f t="shared" si="5"/>
        <v>Resistant</v>
      </c>
      <c r="N41">
        <f t="shared" si="6"/>
        <v>4</v>
      </c>
      <c r="O41" t="str">
        <f t="shared" si="0"/>
        <v>XDR</v>
      </c>
    </row>
    <row r="42" spans="1:15">
      <c r="A42" t="s">
        <v>120</v>
      </c>
      <c r="B42" t="s">
        <v>62</v>
      </c>
      <c r="C42" s="14" t="s">
        <v>60</v>
      </c>
      <c r="D42">
        <v>20</v>
      </c>
      <c r="E42" s="3" t="str">
        <f t="shared" si="1"/>
        <v>Intermediate</v>
      </c>
      <c r="F42">
        <v>0</v>
      </c>
      <c r="G42" s="3" t="str">
        <f t="shared" si="2"/>
        <v>Resistant</v>
      </c>
      <c r="H42">
        <v>17</v>
      </c>
      <c r="I42" t="str">
        <f t="shared" si="3"/>
        <v>Sensitive</v>
      </c>
      <c r="J42">
        <v>7</v>
      </c>
      <c r="K42" t="str">
        <f t="shared" si="4"/>
        <v>Resistant</v>
      </c>
      <c r="L42">
        <v>22</v>
      </c>
      <c r="M42" s="8" t="str">
        <f t="shared" si="5"/>
        <v>Intermediate</v>
      </c>
      <c r="N42">
        <f t="shared" si="6"/>
        <v>2</v>
      </c>
      <c r="O42" t="str">
        <f t="shared" si="0"/>
        <v>Susceptible</v>
      </c>
    </row>
    <row r="43" spans="1:15">
      <c r="A43" t="s">
        <v>121</v>
      </c>
      <c r="B43" t="s">
        <v>62</v>
      </c>
      <c r="C43" s="14" t="s">
        <v>60</v>
      </c>
      <c r="D43">
        <v>22</v>
      </c>
      <c r="E43" s="3" t="str">
        <f t="shared" si="1"/>
        <v>Intermediate</v>
      </c>
      <c r="F43">
        <v>24</v>
      </c>
      <c r="G43" s="3" t="str">
        <f t="shared" si="2"/>
        <v>Sensitive</v>
      </c>
      <c r="H43">
        <v>11</v>
      </c>
      <c r="I43" t="str">
        <f t="shared" si="3"/>
        <v>Resistant</v>
      </c>
      <c r="J43">
        <v>9</v>
      </c>
      <c r="K43" t="str">
        <f t="shared" si="4"/>
        <v>Resistant</v>
      </c>
      <c r="L43">
        <v>20</v>
      </c>
      <c r="M43" s="8" t="str">
        <f t="shared" si="5"/>
        <v>Resistant</v>
      </c>
      <c r="N43">
        <f t="shared" si="6"/>
        <v>3</v>
      </c>
      <c r="O43" t="str">
        <f t="shared" si="0"/>
        <v>MDR</v>
      </c>
    </row>
    <row r="44" spans="1:15">
      <c r="A44" t="s">
        <v>122</v>
      </c>
      <c r="B44" t="s">
        <v>62</v>
      </c>
      <c r="C44" s="14" t="s">
        <v>60</v>
      </c>
      <c r="D44">
        <v>16</v>
      </c>
      <c r="E44" s="3" t="str">
        <f t="shared" si="1"/>
        <v>Resistant</v>
      </c>
      <c r="F44">
        <v>0</v>
      </c>
      <c r="G44" s="3" t="str">
        <f t="shared" si="2"/>
        <v>Resistant</v>
      </c>
      <c r="H44">
        <v>0</v>
      </c>
      <c r="I44" t="str">
        <f t="shared" si="3"/>
        <v>Resistant</v>
      </c>
      <c r="J44">
        <v>8</v>
      </c>
      <c r="K44" t="str">
        <f t="shared" si="4"/>
        <v>Resistant</v>
      </c>
      <c r="L44">
        <v>21</v>
      </c>
      <c r="M44" s="8" t="str">
        <f t="shared" si="5"/>
        <v>Resistant</v>
      </c>
      <c r="N44">
        <f t="shared" si="6"/>
        <v>5</v>
      </c>
      <c r="O44" t="str">
        <f t="shared" si="0"/>
        <v>XDR*</v>
      </c>
    </row>
    <row r="45" spans="1:15">
      <c r="A45" t="s">
        <v>123</v>
      </c>
      <c r="B45" t="s">
        <v>62</v>
      </c>
      <c r="C45" s="14" t="s">
        <v>60</v>
      </c>
      <c r="D45">
        <v>17</v>
      </c>
      <c r="E45" s="3" t="str">
        <f t="shared" si="1"/>
        <v>Resistant</v>
      </c>
      <c r="F45">
        <v>0</v>
      </c>
      <c r="G45" s="3" t="str">
        <f t="shared" si="2"/>
        <v>Resistant</v>
      </c>
      <c r="H45">
        <v>0</v>
      </c>
      <c r="I45" t="str">
        <f t="shared" si="3"/>
        <v>Resistant</v>
      </c>
      <c r="J45">
        <v>12</v>
      </c>
      <c r="K45" t="str">
        <f t="shared" si="4"/>
        <v>Resistant</v>
      </c>
      <c r="L45">
        <v>20</v>
      </c>
      <c r="M45" s="8" t="str">
        <f t="shared" si="5"/>
        <v>Resistant</v>
      </c>
      <c r="N45">
        <f t="shared" si="6"/>
        <v>5</v>
      </c>
      <c r="O45" t="str">
        <f t="shared" si="0"/>
        <v>XDR*</v>
      </c>
    </row>
    <row r="46" spans="1:15">
      <c r="A46" t="s">
        <v>124</v>
      </c>
      <c r="B46" t="s">
        <v>62</v>
      </c>
      <c r="C46" s="14" t="s">
        <v>60</v>
      </c>
      <c r="D46">
        <v>18</v>
      </c>
      <c r="E46" s="3" t="str">
        <f t="shared" si="1"/>
        <v>Resistant</v>
      </c>
      <c r="F46">
        <v>11</v>
      </c>
      <c r="G46" s="3" t="str">
        <f t="shared" si="2"/>
        <v>Resistant</v>
      </c>
      <c r="H46">
        <v>20</v>
      </c>
      <c r="I46" t="str">
        <f t="shared" si="3"/>
        <v>Sensitive</v>
      </c>
      <c r="J46">
        <v>15</v>
      </c>
      <c r="K46" t="str">
        <f t="shared" si="4"/>
        <v>Intermediate</v>
      </c>
      <c r="L46">
        <v>24</v>
      </c>
      <c r="M46" s="8" t="str">
        <f t="shared" si="5"/>
        <v>Intermediate</v>
      </c>
      <c r="N46">
        <f t="shared" si="6"/>
        <v>2</v>
      </c>
      <c r="O46" t="str">
        <f t="shared" si="0"/>
        <v>Susceptible</v>
      </c>
    </row>
    <row r="47" spans="1:15">
      <c r="A47" t="s">
        <v>125</v>
      </c>
      <c r="B47" t="s">
        <v>62</v>
      </c>
      <c r="C47" s="14" t="s">
        <v>60</v>
      </c>
      <c r="D47">
        <v>26</v>
      </c>
      <c r="E47" s="3" t="str">
        <f t="shared" si="1"/>
        <v>Sensitive</v>
      </c>
      <c r="F47">
        <v>11</v>
      </c>
      <c r="G47" s="3" t="str">
        <f t="shared" si="2"/>
        <v>Resistant</v>
      </c>
      <c r="H47">
        <v>21</v>
      </c>
      <c r="I47" t="str">
        <f t="shared" si="3"/>
        <v>Sensitive</v>
      </c>
      <c r="J47">
        <v>10</v>
      </c>
      <c r="K47" t="str">
        <f t="shared" si="4"/>
        <v>Resistant</v>
      </c>
      <c r="L47">
        <v>23</v>
      </c>
      <c r="M47" s="8" t="str">
        <f t="shared" si="5"/>
        <v>Intermediate</v>
      </c>
      <c r="N47">
        <f t="shared" si="6"/>
        <v>2</v>
      </c>
      <c r="O47" t="str">
        <f t="shared" si="0"/>
        <v>Susceptible</v>
      </c>
    </row>
    <row r="48" spans="1:15">
      <c r="A48" t="s">
        <v>126</v>
      </c>
      <c r="B48" t="s">
        <v>62</v>
      </c>
      <c r="C48" s="14" t="s">
        <v>60</v>
      </c>
      <c r="D48">
        <v>15</v>
      </c>
      <c r="E48" s="3" t="str">
        <f t="shared" si="1"/>
        <v>Resistant</v>
      </c>
      <c r="F48">
        <v>0</v>
      </c>
      <c r="G48" s="3" t="str">
        <f t="shared" si="2"/>
        <v>Resistant</v>
      </c>
      <c r="H48">
        <v>20</v>
      </c>
      <c r="I48" t="str">
        <f t="shared" si="3"/>
        <v>Sensitive</v>
      </c>
      <c r="J48">
        <v>0</v>
      </c>
      <c r="K48" t="str">
        <f t="shared" si="4"/>
        <v>Resistant</v>
      </c>
      <c r="L48">
        <v>28</v>
      </c>
      <c r="M48" s="8" t="str">
        <f t="shared" si="5"/>
        <v>Sensitive</v>
      </c>
      <c r="N48">
        <f t="shared" si="6"/>
        <v>3</v>
      </c>
      <c r="O48" t="str">
        <f t="shared" si="0"/>
        <v>MDR</v>
      </c>
    </row>
    <row r="49" spans="1:15">
      <c r="A49" t="s">
        <v>127</v>
      </c>
      <c r="B49" t="s">
        <v>62</v>
      </c>
      <c r="C49" s="14" t="s">
        <v>60</v>
      </c>
      <c r="D49">
        <v>21</v>
      </c>
      <c r="E49" s="3" t="str">
        <f t="shared" si="1"/>
        <v>Intermediate</v>
      </c>
      <c r="F49">
        <v>0</v>
      </c>
      <c r="G49" s="3" t="str">
        <f t="shared" si="2"/>
        <v>Resistant</v>
      </c>
      <c r="H49">
        <v>0</v>
      </c>
      <c r="I49" t="str">
        <f t="shared" si="3"/>
        <v>Resistant</v>
      </c>
      <c r="J49">
        <v>20</v>
      </c>
      <c r="K49" t="str">
        <f t="shared" si="4"/>
        <v>Sensitive</v>
      </c>
      <c r="L49">
        <v>22</v>
      </c>
      <c r="M49" s="8" t="str">
        <f t="shared" si="5"/>
        <v>Intermediate</v>
      </c>
      <c r="N49">
        <f t="shared" si="6"/>
        <v>2</v>
      </c>
      <c r="O49" t="str">
        <f t="shared" si="0"/>
        <v>Susceptible</v>
      </c>
    </row>
    <row r="50" spans="1:15">
      <c r="A50" t="s">
        <v>128</v>
      </c>
      <c r="B50" t="s">
        <v>62</v>
      </c>
      <c r="C50" s="14" t="s">
        <v>60</v>
      </c>
      <c r="D50">
        <v>20</v>
      </c>
      <c r="E50" s="3" t="str">
        <f t="shared" si="1"/>
        <v>Intermediate</v>
      </c>
      <c r="F50">
        <v>10</v>
      </c>
      <c r="G50" s="3" t="str">
        <f t="shared" si="2"/>
        <v>Resistant</v>
      </c>
      <c r="H50">
        <v>18</v>
      </c>
      <c r="I50" t="str">
        <f t="shared" si="3"/>
        <v>Sensitive</v>
      </c>
      <c r="J50">
        <v>0</v>
      </c>
      <c r="K50" t="str">
        <f t="shared" si="4"/>
        <v>Resistant</v>
      </c>
      <c r="L50">
        <v>22</v>
      </c>
      <c r="M50" s="8" t="str">
        <f t="shared" si="5"/>
        <v>Intermediate</v>
      </c>
      <c r="N50">
        <f t="shared" si="6"/>
        <v>2</v>
      </c>
      <c r="O50" t="str">
        <f t="shared" si="0"/>
        <v>Susceptible</v>
      </c>
    </row>
    <row r="51" spans="1:15">
      <c r="A51" t="s">
        <v>129</v>
      </c>
      <c r="B51" t="s">
        <v>62</v>
      </c>
      <c r="C51" s="14" t="s">
        <v>59</v>
      </c>
      <c r="D51">
        <v>23</v>
      </c>
      <c r="E51" s="3" t="str">
        <f t="shared" si="1"/>
        <v>Sensitive</v>
      </c>
      <c r="F51">
        <v>0</v>
      </c>
      <c r="G51" s="3" t="str">
        <f t="shared" si="2"/>
        <v>Resistant</v>
      </c>
      <c r="H51">
        <v>18</v>
      </c>
      <c r="I51" t="str">
        <f t="shared" si="3"/>
        <v>Sensitive</v>
      </c>
      <c r="J51">
        <v>7</v>
      </c>
      <c r="K51" t="str">
        <f t="shared" si="4"/>
        <v>Resistant</v>
      </c>
      <c r="L51">
        <v>25</v>
      </c>
      <c r="M51" s="8" t="str">
        <f t="shared" si="5"/>
        <v>Intermediate</v>
      </c>
      <c r="N51">
        <f t="shared" si="6"/>
        <v>2</v>
      </c>
      <c r="O51" t="str">
        <f t="shared" si="0"/>
        <v>Susceptible</v>
      </c>
    </row>
    <row r="52" spans="1:15">
      <c r="A52" t="s">
        <v>130</v>
      </c>
      <c r="B52" t="s">
        <v>62</v>
      </c>
      <c r="C52" s="14" t="s">
        <v>59</v>
      </c>
      <c r="D52">
        <v>15</v>
      </c>
      <c r="E52" s="3" t="str">
        <f t="shared" si="1"/>
        <v>Resistant</v>
      </c>
      <c r="F52">
        <v>0</v>
      </c>
      <c r="G52" s="3" t="str">
        <f t="shared" si="2"/>
        <v>Resistant</v>
      </c>
      <c r="H52">
        <v>0</v>
      </c>
      <c r="I52" t="str">
        <f t="shared" si="3"/>
        <v>Resistant</v>
      </c>
      <c r="J52">
        <v>0</v>
      </c>
      <c r="K52" t="str">
        <f t="shared" si="4"/>
        <v>Resistant</v>
      </c>
      <c r="L52">
        <v>24</v>
      </c>
      <c r="M52" s="8" t="str">
        <f t="shared" si="5"/>
        <v>Intermediate</v>
      </c>
      <c r="N52">
        <f t="shared" si="6"/>
        <v>4</v>
      </c>
      <c r="O52" t="str">
        <f t="shared" si="0"/>
        <v>XDR</v>
      </c>
    </row>
    <row r="53" spans="1:15">
      <c r="A53" t="s">
        <v>131</v>
      </c>
      <c r="B53" t="s">
        <v>62</v>
      </c>
      <c r="C53" s="14" t="s">
        <v>59</v>
      </c>
      <c r="D53">
        <v>25</v>
      </c>
      <c r="E53" s="3" t="str">
        <f t="shared" si="1"/>
        <v>Sensitive</v>
      </c>
      <c r="F53">
        <v>9</v>
      </c>
      <c r="G53" s="3" t="str">
        <f t="shared" si="2"/>
        <v>Resistant</v>
      </c>
      <c r="H53">
        <v>19</v>
      </c>
      <c r="I53" t="str">
        <f t="shared" si="3"/>
        <v>Sensitive</v>
      </c>
      <c r="J53">
        <v>20</v>
      </c>
      <c r="K53" t="str">
        <f t="shared" si="4"/>
        <v>Sensitive</v>
      </c>
      <c r="L53">
        <v>25</v>
      </c>
      <c r="M53" s="8" t="str">
        <f t="shared" si="5"/>
        <v>Intermediate</v>
      </c>
      <c r="N53">
        <f t="shared" si="6"/>
        <v>1</v>
      </c>
      <c r="O53" t="str">
        <f t="shared" si="0"/>
        <v>Susceptible</v>
      </c>
    </row>
    <row r="54" spans="1:15">
      <c r="A54" t="s">
        <v>132</v>
      </c>
      <c r="B54" t="s">
        <v>62</v>
      </c>
      <c r="C54" s="14" t="s">
        <v>59</v>
      </c>
      <c r="D54">
        <v>24</v>
      </c>
      <c r="E54" s="3" t="str">
        <f t="shared" si="1"/>
        <v>Sensitive</v>
      </c>
      <c r="F54">
        <v>0</v>
      </c>
      <c r="G54" s="3" t="str">
        <f t="shared" si="2"/>
        <v>Resistant</v>
      </c>
      <c r="H54">
        <v>19</v>
      </c>
      <c r="I54" t="str">
        <f t="shared" si="3"/>
        <v>Sensitive</v>
      </c>
      <c r="J54">
        <v>9</v>
      </c>
      <c r="K54" t="str">
        <f t="shared" si="4"/>
        <v>Resistant</v>
      </c>
      <c r="L54">
        <v>23</v>
      </c>
      <c r="M54" s="8" t="str">
        <f t="shared" si="5"/>
        <v>Intermediate</v>
      </c>
      <c r="N54">
        <f t="shared" si="6"/>
        <v>2</v>
      </c>
      <c r="O54" t="str">
        <f t="shared" si="0"/>
        <v>Susceptible</v>
      </c>
    </row>
    <row r="55" spans="1:15">
      <c r="A55" t="s">
        <v>133</v>
      </c>
      <c r="B55" t="s">
        <v>62</v>
      </c>
      <c r="C55" s="14" t="s">
        <v>59</v>
      </c>
      <c r="D55">
        <v>26</v>
      </c>
      <c r="E55" s="3" t="str">
        <f t="shared" si="1"/>
        <v>Sensitive</v>
      </c>
      <c r="F55">
        <v>11</v>
      </c>
      <c r="G55" s="3" t="str">
        <f t="shared" si="2"/>
        <v>Resistant</v>
      </c>
      <c r="H55">
        <v>19</v>
      </c>
      <c r="I55" t="str">
        <f t="shared" si="3"/>
        <v>Sensitive</v>
      </c>
      <c r="J55">
        <v>20</v>
      </c>
      <c r="K55" t="str">
        <f t="shared" si="4"/>
        <v>Sensitive</v>
      </c>
      <c r="L55">
        <v>21</v>
      </c>
      <c r="M55" s="8" t="str">
        <f t="shared" si="5"/>
        <v>Resistant</v>
      </c>
      <c r="N55">
        <f t="shared" si="6"/>
        <v>2</v>
      </c>
      <c r="O55" t="str">
        <f t="shared" si="0"/>
        <v>Susceptible</v>
      </c>
    </row>
    <row r="56" spans="1:15">
      <c r="A56" t="s">
        <v>134</v>
      </c>
      <c r="B56" t="s">
        <v>62</v>
      </c>
      <c r="C56" s="14" t="s">
        <v>59</v>
      </c>
      <c r="D56">
        <v>40</v>
      </c>
      <c r="E56" s="3" t="str">
        <f t="shared" si="1"/>
        <v>Sensitive</v>
      </c>
      <c r="F56">
        <v>0</v>
      </c>
      <c r="G56" s="3" t="str">
        <f t="shared" si="2"/>
        <v>Resistant</v>
      </c>
      <c r="H56">
        <v>20</v>
      </c>
      <c r="I56" t="str">
        <f t="shared" si="3"/>
        <v>Sensitive</v>
      </c>
      <c r="J56">
        <v>15</v>
      </c>
      <c r="K56" t="str">
        <f t="shared" si="4"/>
        <v>Intermediate</v>
      </c>
      <c r="L56">
        <v>20</v>
      </c>
      <c r="M56" s="8" t="str">
        <f t="shared" si="5"/>
        <v>Resistant</v>
      </c>
      <c r="N56">
        <f t="shared" si="6"/>
        <v>2</v>
      </c>
      <c r="O56" t="str">
        <f t="shared" si="0"/>
        <v>Susceptible</v>
      </c>
    </row>
    <row r="57" spans="1:15">
      <c r="A57" t="s">
        <v>135</v>
      </c>
      <c r="B57" t="s">
        <v>62</v>
      </c>
      <c r="C57" s="14" t="s">
        <v>59</v>
      </c>
      <c r="D57">
        <v>30</v>
      </c>
      <c r="E57" s="3" t="str">
        <f t="shared" si="1"/>
        <v>Sensitive</v>
      </c>
      <c r="F57">
        <v>0</v>
      </c>
      <c r="G57" s="3" t="str">
        <f t="shared" si="2"/>
        <v>Resistant</v>
      </c>
      <c r="H57">
        <v>24</v>
      </c>
      <c r="I57" t="str">
        <f t="shared" si="3"/>
        <v>Sensitive</v>
      </c>
      <c r="J57">
        <v>25</v>
      </c>
      <c r="K57" t="str">
        <f t="shared" si="4"/>
        <v>Sensitive</v>
      </c>
      <c r="L57">
        <v>20</v>
      </c>
      <c r="M57" s="8" t="str">
        <f t="shared" si="5"/>
        <v>Resistant</v>
      </c>
      <c r="N57">
        <f t="shared" si="6"/>
        <v>2</v>
      </c>
      <c r="O57" t="str">
        <f t="shared" si="0"/>
        <v>Susceptible</v>
      </c>
    </row>
    <row r="58" spans="1:15">
      <c r="A58" t="s">
        <v>136</v>
      </c>
      <c r="B58" t="s">
        <v>62</v>
      </c>
      <c r="C58" s="14" t="s">
        <v>59</v>
      </c>
      <c r="D58">
        <v>40</v>
      </c>
      <c r="E58" s="3" t="str">
        <f t="shared" si="1"/>
        <v>Sensitive</v>
      </c>
      <c r="F58">
        <v>12</v>
      </c>
      <c r="G58" s="3" t="str">
        <f t="shared" si="2"/>
        <v>Resistant</v>
      </c>
      <c r="H58">
        <v>25</v>
      </c>
      <c r="I58" t="str">
        <f t="shared" si="3"/>
        <v>Sensitive</v>
      </c>
      <c r="J58">
        <v>28</v>
      </c>
      <c r="K58" t="str">
        <f t="shared" si="4"/>
        <v>Sensitive</v>
      </c>
      <c r="L58">
        <v>25</v>
      </c>
      <c r="M58" s="8" t="str">
        <f t="shared" si="5"/>
        <v>Intermediate</v>
      </c>
      <c r="N58">
        <f t="shared" si="6"/>
        <v>1</v>
      </c>
      <c r="O58" t="str">
        <f t="shared" si="0"/>
        <v>Susceptible</v>
      </c>
    </row>
    <row r="59" spans="1:15">
      <c r="A59" t="s">
        <v>137</v>
      </c>
      <c r="B59" t="s">
        <v>62</v>
      </c>
      <c r="C59" s="14" t="s">
        <v>59</v>
      </c>
      <c r="D59">
        <v>22</v>
      </c>
      <c r="E59" s="3" t="str">
        <f t="shared" si="1"/>
        <v>Intermediate</v>
      </c>
      <c r="F59">
        <v>22</v>
      </c>
      <c r="G59" s="3" t="str">
        <f t="shared" si="2"/>
        <v>Sensitive</v>
      </c>
      <c r="H59">
        <v>18</v>
      </c>
      <c r="I59" t="str">
        <f t="shared" si="3"/>
        <v>Sensitive</v>
      </c>
      <c r="J59">
        <v>0</v>
      </c>
      <c r="K59" t="str">
        <f t="shared" si="4"/>
        <v>Resistant</v>
      </c>
      <c r="L59">
        <v>28</v>
      </c>
      <c r="M59" s="8" t="str">
        <f t="shared" si="5"/>
        <v>Sensitive</v>
      </c>
      <c r="N59">
        <f t="shared" si="6"/>
        <v>1</v>
      </c>
      <c r="O59" t="str">
        <f t="shared" si="0"/>
        <v>Susceptible</v>
      </c>
    </row>
    <row r="60" spans="1:15">
      <c r="A60" t="s">
        <v>138</v>
      </c>
      <c r="B60" t="s">
        <v>62</v>
      </c>
      <c r="C60" s="14" t="s">
        <v>59</v>
      </c>
      <c r="D60">
        <v>24</v>
      </c>
      <c r="E60" s="3" t="str">
        <f t="shared" si="1"/>
        <v>Sensitive</v>
      </c>
      <c r="F60">
        <v>12</v>
      </c>
      <c r="G60" s="3" t="str">
        <f t="shared" si="2"/>
        <v>Resistant</v>
      </c>
      <c r="H60">
        <v>15</v>
      </c>
      <c r="I60" t="str">
        <f t="shared" si="3"/>
        <v>Sensitive</v>
      </c>
      <c r="J60">
        <v>15</v>
      </c>
      <c r="K60" t="str">
        <f t="shared" si="4"/>
        <v>Intermediate</v>
      </c>
      <c r="L60">
        <v>0</v>
      </c>
      <c r="M60" s="8" t="str">
        <f t="shared" si="5"/>
        <v>Resistant</v>
      </c>
      <c r="N60">
        <f t="shared" si="6"/>
        <v>2</v>
      </c>
      <c r="O60" t="str">
        <f t="shared" si="0"/>
        <v>Susceptible</v>
      </c>
    </row>
    <row r="61" spans="1:15">
      <c r="A61" t="s">
        <v>139</v>
      </c>
      <c r="B61" t="s">
        <v>62</v>
      </c>
      <c r="C61" s="14" t="s">
        <v>59</v>
      </c>
      <c r="D61">
        <v>17</v>
      </c>
      <c r="E61" s="3" t="str">
        <f t="shared" si="1"/>
        <v>Resistant</v>
      </c>
      <c r="F61">
        <v>0</v>
      </c>
      <c r="G61" s="3" t="str">
        <f t="shared" si="2"/>
        <v>Resistant</v>
      </c>
      <c r="H61">
        <v>6</v>
      </c>
      <c r="I61" t="str">
        <f t="shared" si="3"/>
        <v>Resistant</v>
      </c>
      <c r="J61">
        <v>17</v>
      </c>
      <c r="K61" t="str">
        <f t="shared" si="4"/>
        <v>Intermediate</v>
      </c>
      <c r="L61">
        <v>12</v>
      </c>
      <c r="M61" s="8" t="str">
        <f t="shared" si="5"/>
        <v>Resistant</v>
      </c>
      <c r="N61">
        <f t="shared" si="6"/>
        <v>4</v>
      </c>
      <c r="O61" t="str">
        <f t="shared" si="0"/>
        <v>XDR</v>
      </c>
    </row>
    <row r="62" spans="1:15">
      <c r="A62" t="s">
        <v>140</v>
      </c>
      <c r="B62" t="s">
        <v>62</v>
      </c>
      <c r="C62" s="14" t="s">
        <v>59</v>
      </c>
      <c r="D62">
        <v>20</v>
      </c>
      <c r="E62" s="3" t="str">
        <f t="shared" si="1"/>
        <v>Intermediate</v>
      </c>
      <c r="F62">
        <v>20</v>
      </c>
      <c r="G62" s="3" t="str">
        <f t="shared" si="2"/>
        <v>Intermediate</v>
      </c>
      <c r="H62">
        <v>20</v>
      </c>
      <c r="I62" t="str">
        <f t="shared" si="3"/>
        <v>Sensitive</v>
      </c>
      <c r="J62">
        <v>16</v>
      </c>
      <c r="K62" t="str">
        <f t="shared" si="4"/>
        <v>Intermediate</v>
      </c>
      <c r="L62">
        <v>0</v>
      </c>
      <c r="M62" s="8" t="str">
        <f t="shared" si="5"/>
        <v>Resistant</v>
      </c>
      <c r="N62">
        <f t="shared" si="6"/>
        <v>1</v>
      </c>
      <c r="O62" t="str">
        <f t="shared" si="0"/>
        <v>Susceptible</v>
      </c>
    </row>
    <row r="63" spans="1:15">
      <c r="A63" t="s">
        <v>141</v>
      </c>
      <c r="B63" t="s">
        <v>62</v>
      </c>
      <c r="C63" s="14" t="s">
        <v>59</v>
      </c>
      <c r="D63">
        <v>40</v>
      </c>
      <c r="E63" s="3" t="str">
        <f t="shared" si="1"/>
        <v>Sensitive</v>
      </c>
      <c r="F63">
        <v>0</v>
      </c>
      <c r="G63" s="3" t="str">
        <f t="shared" si="2"/>
        <v>Resistant</v>
      </c>
      <c r="H63">
        <v>24</v>
      </c>
      <c r="I63" t="str">
        <f t="shared" si="3"/>
        <v>Sensitive</v>
      </c>
      <c r="J63">
        <v>28</v>
      </c>
      <c r="K63" t="str">
        <f t="shared" si="4"/>
        <v>Sensitive</v>
      </c>
      <c r="L63">
        <v>29</v>
      </c>
      <c r="M63" s="8" t="str">
        <f t="shared" si="5"/>
        <v>Sensitive</v>
      </c>
      <c r="N63">
        <f t="shared" si="6"/>
        <v>1</v>
      </c>
      <c r="O63" t="str">
        <f t="shared" si="0"/>
        <v>Susceptible</v>
      </c>
    </row>
    <row r="64" spans="1:15">
      <c r="A64" t="s">
        <v>142</v>
      </c>
      <c r="B64" t="s">
        <v>62</v>
      </c>
      <c r="C64" s="14" t="s">
        <v>59</v>
      </c>
      <c r="D64">
        <v>25</v>
      </c>
      <c r="E64" s="3" t="str">
        <f t="shared" si="1"/>
        <v>Sensitive</v>
      </c>
      <c r="F64">
        <v>0</v>
      </c>
      <c r="G64" s="3" t="str">
        <f t="shared" si="2"/>
        <v>Resistant</v>
      </c>
      <c r="H64">
        <v>20</v>
      </c>
      <c r="I64" t="str">
        <f t="shared" si="3"/>
        <v>Sensitive</v>
      </c>
      <c r="J64">
        <v>16</v>
      </c>
      <c r="K64" t="str">
        <f t="shared" si="4"/>
        <v>Intermediate</v>
      </c>
      <c r="L64">
        <v>20</v>
      </c>
      <c r="M64" s="8" t="str">
        <f t="shared" si="5"/>
        <v>Resistant</v>
      </c>
      <c r="N64">
        <f t="shared" si="6"/>
        <v>2</v>
      </c>
      <c r="O64" t="str">
        <f t="shared" si="0"/>
        <v>Susceptible</v>
      </c>
    </row>
    <row r="65" spans="1:15">
      <c r="A65" t="s">
        <v>143</v>
      </c>
      <c r="B65" t="s">
        <v>62</v>
      </c>
      <c r="C65" s="14" t="s">
        <v>59</v>
      </c>
      <c r="D65">
        <v>30</v>
      </c>
      <c r="E65" s="3" t="str">
        <f t="shared" si="1"/>
        <v>Sensitive</v>
      </c>
      <c r="F65">
        <v>0</v>
      </c>
      <c r="G65" s="3" t="str">
        <f t="shared" si="2"/>
        <v>Resistant</v>
      </c>
      <c r="H65">
        <v>20</v>
      </c>
      <c r="I65" t="str">
        <f t="shared" si="3"/>
        <v>Sensitive</v>
      </c>
      <c r="J65">
        <v>16</v>
      </c>
      <c r="K65" t="str">
        <f t="shared" si="4"/>
        <v>Intermediate</v>
      </c>
      <c r="L65">
        <v>26</v>
      </c>
      <c r="M65" s="8" t="str">
        <f t="shared" si="5"/>
        <v>Sensitive</v>
      </c>
      <c r="N65">
        <f t="shared" si="6"/>
        <v>1</v>
      </c>
      <c r="O65" t="str">
        <f t="shared" si="0"/>
        <v>Susceptible</v>
      </c>
    </row>
    <row r="66" spans="1:15">
      <c r="A66" t="s">
        <v>144</v>
      </c>
      <c r="B66" t="s">
        <v>62</v>
      </c>
      <c r="C66" s="14" t="s">
        <v>59</v>
      </c>
      <c r="D66">
        <v>25</v>
      </c>
      <c r="E66" s="3" t="str">
        <f t="shared" si="1"/>
        <v>Sensitive</v>
      </c>
      <c r="F66">
        <v>20</v>
      </c>
      <c r="G66" s="3" t="str">
        <f t="shared" si="2"/>
        <v>Intermediate</v>
      </c>
      <c r="H66">
        <v>17</v>
      </c>
      <c r="I66" t="str">
        <f t="shared" si="3"/>
        <v>Sensitive</v>
      </c>
      <c r="J66">
        <v>15</v>
      </c>
      <c r="K66" t="str">
        <f t="shared" si="4"/>
        <v>Intermediate</v>
      </c>
      <c r="L66">
        <v>25</v>
      </c>
      <c r="M66" s="8" t="str">
        <f t="shared" si="5"/>
        <v>Intermediate</v>
      </c>
      <c r="N66">
        <f t="shared" si="6"/>
        <v>0</v>
      </c>
      <c r="O66" t="str">
        <f t="shared" ref="O66:O129" si="7">_xlfn.IFS(N66&lt;=2, "Susceptible",N66=3,"MDR",N66=4, "XDR",N66=5, "XDR*")</f>
        <v>Susceptible</v>
      </c>
    </row>
    <row r="67" spans="1:15">
      <c r="A67" t="s">
        <v>145</v>
      </c>
      <c r="B67" t="s">
        <v>62</v>
      </c>
      <c r="C67" s="14" t="s">
        <v>59</v>
      </c>
      <c r="D67">
        <v>25</v>
      </c>
      <c r="E67" s="3" t="str">
        <f t="shared" ref="E67:E130" si="8">_xlfn.IFS(D67&lt;=19, "Resistant", D67&lt;=22, "Intermediate", D67&gt;=23, "Sensitive")</f>
        <v>Sensitive</v>
      </c>
      <c r="F67">
        <v>24</v>
      </c>
      <c r="G67" s="3" t="str">
        <f t="shared" ref="G67:G130" si="9">_xlfn.IFS(F67&lt;=17, "Resistant", F67&lt;=20, "Intermediate", F67&gt;=21, "Sensitive")</f>
        <v>Sensitive</v>
      </c>
      <c r="H67">
        <v>16</v>
      </c>
      <c r="I67" t="str">
        <f t="shared" ref="I67:I130" si="10">_xlfn.IFS(H67&lt;=12, "Resistant", H67&lt;=14, "Intermediate", H67&gt;=15, "Sensitive")</f>
        <v>Sensitive</v>
      </c>
      <c r="J67">
        <v>20</v>
      </c>
      <c r="K67" t="str">
        <f t="shared" ref="K67:K130" si="11">_xlfn.IFS(J67&lt;=13, "Resistant", J67&lt;=17, "Intermediate", J67&gt;=18, "Sensitive")</f>
        <v>Sensitive</v>
      </c>
      <c r="L67">
        <v>25</v>
      </c>
      <c r="M67" s="8" t="str">
        <f t="shared" ref="M67:M130" si="12">_xlfn.IFS(L67&lt;=21, "Resistant", L67&lt;=25, "Intermediate", L67&gt;=26, "Sensitive")</f>
        <v>Intermediate</v>
      </c>
      <c r="N67">
        <f t="shared" ref="N67:N130" si="13">COUNTIF(E67:M67,"Resistant")</f>
        <v>0</v>
      </c>
      <c r="O67" t="str">
        <f t="shared" si="7"/>
        <v>Susceptible</v>
      </c>
    </row>
    <row r="68" spans="1:15">
      <c r="A68" t="s">
        <v>146</v>
      </c>
      <c r="B68" t="s">
        <v>62</v>
      </c>
      <c r="C68" s="14" t="s">
        <v>59</v>
      </c>
      <c r="D68">
        <v>22</v>
      </c>
      <c r="E68" s="3" t="str">
        <f t="shared" si="8"/>
        <v>Intermediate</v>
      </c>
      <c r="F68">
        <v>0</v>
      </c>
      <c r="G68" s="3" t="str">
        <f t="shared" si="9"/>
        <v>Resistant</v>
      </c>
      <c r="H68">
        <v>16</v>
      </c>
      <c r="I68" t="str">
        <f t="shared" si="10"/>
        <v>Sensitive</v>
      </c>
      <c r="J68">
        <v>4</v>
      </c>
      <c r="K68" t="str">
        <f t="shared" si="11"/>
        <v>Resistant</v>
      </c>
      <c r="L68">
        <v>20</v>
      </c>
      <c r="M68" s="8" t="str">
        <f t="shared" si="12"/>
        <v>Resistant</v>
      </c>
      <c r="N68">
        <f t="shared" si="13"/>
        <v>3</v>
      </c>
      <c r="O68" t="str">
        <f t="shared" si="7"/>
        <v>MDR</v>
      </c>
    </row>
    <row r="69" spans="1:15">
      <c r="A69" t="s">
        <v>147</v>
      </c>
      <c r="B69" t="s">
        <v>62</v>
      </c>
      <c r="C69" s="14" t="s">
        <v>59</v>
      </c>
      <c r="D69">
        <v>30</v>
      </c>
      <c r="E69" s="3" t="str">
        <f t="shared" si="8"/>
        <v>Sensitive</v>
      </c>
      <c r="F69">
        <v>7</v>
      </c>
      <c r="G69" s="3" t="str">
        <f t="shared" si="9"/>
        <v>Resistant</v>
      </c>
      <c r="H69">
        <v>20</v>
      </c>
      <c r="I69" t="str">
        <f t="shared" si="10"/>
        <v>Sensitive</v>
      </c>
      <c r="J69">
        <v>20</v>
      </c>
      <c r="K69" t="str">
        <f t="shared" si="11"/>
        <v>Sensitive</v>
      </c>
      <c r="L69">
        <v>20</v>
      </c>
      <c r="M69" s="8" t="str">
        <f t="shared" si="12"/>
        <v>Resistant</v>
      </c>
      <c r="N69">
        <f t="shared" si="13"/>
        <v>2</v>
      </c>
      <c r="O69" t="str">
        <f t="shared" si="7"/>
        <v>Susceptible</v>
      </c>
    </row>
    <row r="70" spans="1:15">
      <c r="A70" t="s">
        <v>148</v>
      </c>
      <c r="B70" t="s">
        <v>62</v>
      </c>
      <c r="C70" s="14" t="s">
        <v>59</v>
      </c>
      <c r="D70">
        <v>20</v>
      </c>
      <c r="E70" s="3" t="str">
        <f t="shared" si="8"/>
        <v>Intermediate</v>
      </c>
      <c r="F70">
        <v>0</v>
      </c>
      <c r="G70" s="3" t="str">
        <f t="shared" si="9"/>
        <v>Resistant</v>
      </c>
      <c r="H70">
        <v>20</v>
      </c>
      <c r="I70" t="str">
        <f t="shared" si="10"/>
        <v>Sensitive</v>
      </c>
      <c r="J70">
        <v>11</v>
      </c>
      <c r="K70" t="str">
        <f t="shared" si="11"/>
        <v>Resistant</v>
      </c>
      <c r="L70">
        <v>0</v>
      </c>
      <c r="M70" s="8" t="str">
        <f t="shared" si="12"/>
        <v>Resistant</v>
      </c>
      <c r="N70">
        <f t="shared" si="13"/>
        <v>3</v>
      </c>
      <c r="O70" t="str">
        <f t="shared" si="7"/>
        <v>MDR</v>
      </c>
    </row>
    <row r="71" spans="1:15">
      <c r="A71" t="s">
        <v>149</v>
      </c>
      <c r="B71" t="s">
        <v>62</v>
      </c>
      <c r="C71" s="14" t="s">
        <v>59</v>
      </c>
      <c r="D71">
        <v>30</v>
      </c>
      <c r="E71" s="3" t="str">
        <f t="shared" si="8"/>
        <v>Sensitive</v>
      </c>
      <c r="F71">
        <v>0</v>
      </c>
      <c r="G71" s="3" t="str">
        <f t="shared" si="9"/>
        <v>Resistant</v>
      </c>
      <c r="H71">
        <v>20</v>
      </c>
      <c r="I71" t="str">
        <f t="shared" si="10"/>
        <v>Sensitive</v>
      </c>
      <c r="J71">
        <v>18</v>
      </c>
      <c r="K71" t="str">
        <f t="shared" si="11"/>
        <v>Sensitive</v>
      </c>
      <c r="L71">
        <v>25</v>
      </c>
      <c r="M71" s="8" t="str">
        <f t="shared" si="12"/>
        <v>Intermediate</v>
      </c>
      <c r="N71">
        <f t="shared" si="13"/>
        <v>1</v>
      </c>
      <c r="O71" t="str">
        <f t="shared" si="7"/>
        <v>Susceptible</v>
      </c>
    </row>
    <row r="72" spans="1:15">
      <c r="A72" t="s">
        <v>150</v>
      </c>
      <c r="B72" t="s">
        <v>62</v>
      </c>
      <c r="C72" s="14" t="s">
        <v>59</v>
      </c>
      <c r="D72">
        <v>30</v>
      </c>
      <c r="E72" s="3" t="str">
        <f t="shared" si="8"/>
        <v>Sensitive</v>
      </c>
      <c r="F72">
        <v>18</v>
      </c>
      <c r="G72" s="3" t="str">
        <f t="shared" si="9"/>
        <v>Intermediate</v>
      </c>
      <c r="H72">
        <v>16</v>
      </c>
      <c r="I72" t="str">
        <f t="shared" si="10"/>
        <v>Sensitive</v>
      </c>
      <c r="J72">
        <v>25</v>
      </c>
      <c r="K72" t="str">
        <f t="shared" si="11"/>
        <v>Sensitive</v>
      </c>
      <c r="L72">
        <v>20</v>
      </c>
      <c r="M72" s="8" t="str">
        <f t="shared" si="12"/>
        <v>Resistant</v>
      </c>
      <c r="N72">
        <f t="shared" si="13"/>
        <v>1</v>
      </c>
      <c r="O72" t="str">
        <f t="shared" si="7"/>
        <v>Susceptible</v>
      </c>
    </row>
    <row r="73" spans="1:15">
      <c r="A73" t="s">
        <v>151</v>
      </c>
      <c r="B73" t="s">
        <v>62</v>
      </c>
      <c r="C73" s="14" t="s">
        <v>59</v>
      </c>
      <c r="D73">
        <v>40</v>
      </c>
      <c r="E73" s="3" t="str">
        <f t="shared" si="8"/>
        <v>Sensitive</v>
      </c>
      <c r="F73">
        <v>20</v>
      </c>
      <c r="G73" s="3" t="str">
        <f t="shared" si="9"/>
        <v>Intermediate</v>
      </c>
      <c r="H73">
        <v>25</v>
      </c>
      <c r="I73" t="str">
        <f t="shared" si="10"/>
        <v>Sensitive</v>
      </c>
      <c r="J73">
        <v>25</v>
      </c>
      <c r="K73" t="str">
        <f t="shared" si="11"/>
        <v>Sensitive</v>
      </c>
      <c r="L73">
        <v>25</v>
      </c>
      <c r="M73" s="8" t="str">
        <f t="shared" si="12"/>
        <v>Intermediate</v>
      </c>
      <c r="N73">
        <f t="shared" si="13"/>
        <v>0</v>
      </c>
      <c r="O73" t="str">
        <f t="shared" si="7"/>
        <v>Susceptible</v>
      </c>
    </row>
    <row r="74" spans="1:15">
      <c r="A74" t="s">
        <v>152</v>
      </c>
      <c r="B74" t="s">
        <v>62</v>
      </c>
      <c r="C74" s="14" t="s">
        <v>59</v>
      </c>
      <c r="D74">
        <v>30</v>
      </c>
      <c r="E74" s="3" t="str">
        <f t="shared" si="8"/>
        <v>Sensitive</v>
      </c>
      <c r="F74">
        <v>0</v>
      </c>
      <c r="G74" s="3" t="str">
        <f t="shared" si="9"/>
        <v>Resistant</v>
      </c>
      <c r="H74">
        <v>20</v>
      </c>
      <c r="I74" t="str">
        <f t="shared" si="10"/>
        <v>Sensitive</v>
      </c>
      <c r="J74">
        <v>17</v>
      </c>
      <c r="K74" t="str">
        <f t="shared" si="11"/>
        <v>Intermediate</v>
      </c>
      <c r="L74">
        <v>25</v>
      </c>
      <c r="M74" s="8" t="str">
        <f t="shared" si="12"/>
        <v>Intermediate</v>
      </c>
      <c r="N74">
        <f t="shared" si="13"/>
        <v>1</v>
      </c>
      <c r="O74" t="str">
        <f t="shared" si="7"/>
        <v>Susceptible</v>
      </c>
    </row>
    <row r="75" spans="1:15">
      <c r="A75" t="s">
        <v>153</v>
      </c>
      <c r="B75" t="s">
        <v>64</v>
      </c>
      <c r="C75" s="14" t="s">
        <v>58</v>
      </c>
      <c r="D75">
        <v>24</v>
      </c>
      <c r="E75" s="3" t="str">
        <f t="shared" si="8"/>
        <v>Sensitive</v>
      </c>
      <c r="F75">
        <v>0</v>
      </c>
      <c r="G75" s="3" t="str">
        <f t="shared" si="9"/>
        <v>Resistant</v>
      </c>
      <c r="H75">
        <v>16</v>
      </c>
      <c r="I75" t="str">
        <f t="shared" si="10"/>
        <v>Sensitive</v>
      </c>
      <c r="J75">
        <v>0</v>
      </c>
      <c r="K75" t="str">
        <f t="shared" si="11"/>
        <v>Resistant</v>
      </c>
      <c r="L75">
        <v>30</v>
      </c>
      <c r="M75" s="8" t="str">
        <f t="shared" si="12"/>
        <v>Sensitive</v>
      </c>
      <c r="N75">
        <f t="shared" si="13"/>
        <v>2</v>
      </c>
      <c r="O75" t="str">
        <f t="shared" si="7"/>
        <v>Susceptible</v>
      </c>
    </row>
    <row r="76" spans="1:15">
      <c r="A76" t="s">
        <v>154</v>
      </c>
      <c r="B76" t="s">
        <v>64</v>
      </c>
      <c r="C76" s="14" t="s">
        <v>58</v>
      </c>
      <c r="D76">
        <v>26</v>
      </c>
      <c r="E76" s="3" t="str">
        <f t="shared" si="8"/>
        <v>Sensitive</v>
      </c>
      <c r="F76">
        <v>20</v>
      </c>
      <c r="G76" s="3" t="str">
        <f t="shared" si="9"/>
        <v>Intermediate</v>
      </c>
      <c r="H76">
        <v>10</v>
      </c>
      <c r="I76" t="str">
        <f t="shared" si="10"/>
        <v>Resistant</v>
      </c>
      <c r="J76">
        <v>9</v>
      </c>
      <c r="K76" t="str">
        <f t="shared" si="11"/>
        <v>Resistant</v>
      </c>
      <c r="L76">
        <v>23</v>
      </c>
      <c r="M76" s="8" t="str">
        <f t="shared" si="12"/>
        <v>Intermediate</v>
      </c>
      <c r="N76">
        <f t="shared" si="13"/>
        <v>2</v>
      </c>
      <c r="O76" t="str">
        <f t="shared" si="7"/>
        <v>Susceptible</v>
      </c>
    </row>
    <row r="77" spans="1:15">
      <c r="A77" t="s">
        <v>155</v>
      </c>
      <c r="B77" t="s">
        <v>64</v>
      </c>
      <c r="C77" s="14" t="s">
        <v>58</v>
      </c>
      <c r="D77">
        <v>21</v>
      </c>
      <c r="E77" s="3" t="str">
        <f t="shared" si="8"/>
        <v>Intermediate</v>
      </c>
      <c r="F77">
        <v>0</v>
      </c>
      <c r="G77" s="3" t="str">
        <f t="shared" si="9"/>
        <v>Resistant</v>
      </c>
      <c r="H77">
        <v>15</v>
      </c>
      <c r="I77" t="str">
        <f t="shared" si="10"/>
        <v>Sensitive</v>
      </c>
      <c r="J77">
        <v>0</v>
      </c>
      <c r="K77" t="str">
        <f t="shared" si="11"/>
        <v>Resistant</v>
      </c>
      <c r="L77">
        <v>22</v>
      </c>
      <c r="M77" s="8" t="str">
        <f t="shared" si="12"/>
        <v>Intermediate</v>
      </c>
      <c r="N77">
        <f t="shared" si="13"/>
        <v>2</v>
      </c>
      <c r="O77" t="str">
        <f t="shared" si="7"/>
        <v>Susceptible</v>
      </c>
    </row>
    <row r="78" spans="1:15">
      <c r="A78" t="s">
        <v>156</v>
      </c>
      <c r="B78" t="s">
        <v>64</v>
      </c>
      <c r="C78" s="14" t="s">
        <v>58</v>
      </c>
      <c r="D78">
        <v>22</v>
      </c>
      <c r="E78" s="3" t="str">
        <f t="shared" si="8"/>
        <v>Intermediate</v>
      </c>
      <c r="F78">
        <v>12</v>
      </c>
      <c r="G78" s="3" t="str">
        <f t="shared" si="9"/>
        <v>Resistant</v>
      </c>
      <c r="H78">
        <v>17</v>
      </c>
      <c r="I78" t="str">
        <f t="shared" si="10"/>
        <v>Sensitive</v>
      </c>
      <c r="J78">
        <v>0</v>
      </c>
      <c r="K78" t="str">
        <f t="shared" si="11"/>
        <v>Resistant</v>
      </c>
      <c r="L78">
        <v>19</v>
      </c>
      <c r="M78" s="8" t="str">
        <f t="shared" si="12"/>
        <v>Resistant</v>
      </c>
      <c r="N78">
        <f t="shared" si="13"/>
        <v>3</v>
      </c>
      <c r="O78" t="str">
        <f t="shared" si="7"/>
        <v>MDR</v>
      </c>
    </row>
    <row r="79" spans="1:15">
      <c r="A79" t="s">
        <v>157</v>
      </c>
      <c r="B79" t="s">
        <v>64</v>
      </c>
      <c r="C79" s="14" t="s">
        <v>58</v>
      </c>
      <c r="D79">
        <v>20</v>
      </c>
      <c r="E79" s="3" t="str">
        <f t="shared" si="8"/>
        <v>Intermediate</v>
      </c>
      <c r="F79">
        <v>0</v>
      </c>
      <c r="G79" s="3" t="str">
        <f t="shared" si="9"/>
        <v>Resistant</v>
      </c>
      <c r="H79">
        <v>15</v>
      </c>
      <c r="I79" t="str">
        <f t="shared" si="10"/>
        <v>Sensitive</v>
      </c>
      <c r="J79">
        <v>0</v>
      </c>
      <c r="K79" t="str">
        <f t="shared" si="11"/>
        <v>Resistant</v>
      </c>
      <c r="L79">
        <v>20</v>
      </c>
      <c r="M79" s="8" t="str">
        <f t="shared" si="12"/>
        <v>Resistant</v>
      </c>
      <c r="N79">
        <f t="shared" si="13"/>
        <v>3</v>
      </c>
      <c r="O79" t="str">
        <f t="shared" si="7"/>
        <v>MDR</v>
      </c>
    </row>
    <row r="80" spans="1:15">
      <c r="A80" t="s">
        <v>158</v>
      </c>
      <c r="B80" t="s">
        <v>64</v>
      </c>
      <c r="C80" s="14" t="s">
        <v>58</v>
      </c>
      <c r="D80">
        <v>17</v>
      </c>
      <c r="E80" s="3" t="str">
        <f t="shared" si="8"/>
        <v>Resistant</v>
      </c>
      <c r="F80">
        <v>0</v>
      </c>
      <c r="G80" s="3" t="str">
        <f t="shared" si="9"/>
        <v>Resistant</v>
      </c>
      <c r="H80">
        <v>15</v>
      </c>
      <c r="I80" t="str">
        <f t="shared" si="10"/>
        <v>Sensitive</v>
      </c>
      <c r="J80">
        <v>0</v>
      </c>
      <c r="K80" t="str">
        <f t="shared" si="11"/>
        <v>Resistant</v>
      </c>
      <c r="L80">
        <v>12</v>
      </c>
      <c r="M80" s="8" t="str">
        <f t="shared" si="12"/>
        <v>Resistant</v>
      </c>
      <c r="N80">
        <f t="shared" si="13"/>
        <v>4</v>
      </c>
      <c r="O80" t="str">
        <f t="shared" si="7"/>
        <v>XDR</v>
      </c>
    </row>
    <row r="81" spans="1:15">
      <c r="A81" t="s">
        <v>159</v>
      </c>
      <c r="B81" t="s">
        <v>64</v>
      </c>
      <c r="C81" s="14" t="s">
        <v>58</v>
      </c>
      <c r="D81">
        <v>18</v>
      </c>
      <c r="E81" s="3" t="str">
        <f t="shared" si="8"/>
        <v>Resistant</v>
      </c>
      <c r="F81">
        <v>24</v>
      </c>
      <c r="G81" s="3" t="str">
        <f t="shared" si="9"/>
        <v>Sensitive</v>
      </c>
      <c r="H81">
        <v>13</v>
      </c>
      <c r="I81" t="str">
        <f t="shared" si="10"/>
        <v>Intermediate</v>
      </c>
      <c r="J81">
        <v>9</v>
      </c>
      <c r="K81" t="str">
        <f t="shared" si="11"/>
        <v>Resistant</v>
      </c>
      <c r="L81">
        <v>32</v>
      </c>
      <c r="M81" s="8" t="str">
        <f t="shared" si="12"/>
        <v>Sensitive</v>
      </c>
      <c r="N81">
        <f t="shared" si="13"/>
        <v>2</v>
      </c>
      <c r="O81" t="str">
        <f t="shared" si="7"/>
        <v>Susceptible</v>
      </c>
    </row>
    <row r="82" spans="1:15">
      <c r="A82" t="s">
        <v>160</v>
      </c>
      <c r="B82" t="s">
        <v>64</v>
      </c>
      <c r="C82" s="14" t="s">
        <v>58</v>
      </c>
      <c r="D82">
        <v>27</v>
      </c>
      <c r="E82" s="3" t="str">
        <f t="shared" si="8"/>
        <v>Sensitive</v>
      </c>
      <c r="F82">
        <v>0</v>
      </c>
      <c r="G82" s="3" t="str">
        <f t="shared" si="9"/>
        <v>Resistant</v>
      </c>
      <c r="H82">
        <v>15</v>
      </c>
      <c r="I82" t="str">
        <f t="shared" si="10"/>
        <v>Sensitive</v>
      </c>
      <c r="J82">
        <v>0</v>
      </c>
      <c r="K82" t="str">
        <f t="shared" si="11"/>
        <v>Resistant</v>
      </c>
      <c r="L82">
        <v>10</v>
      </c>
      <c r="M82" s="8" t="str">
        <f t="shared" si="12"/>
        <v>Resistant</v>
      </c>
      <c r="N82">
        <f t="shared" si="13"/>
        <v>3</v>
      </c>
      <c r="O82" t="str">
        <f t="shared" si="7"/>
        <v>MDR</v>
      </c>
    </row>
    <row r="83" spans="1:15">
      <c r="A83" t="s">
        <v>161</v>
      </c>
      <c r="B83" t="s">
        <v>64</v>
      </c>
      <c r="C83" s="14" t="s">
        <v>58</v>
      </c>
      <c r="D83">
        <v>22</v>
      </c>
      <c r="E83" s="3" t="str">
        <f t="shared" si="8"/>
        <v>Intermediate</v>
      </c>
      <c r="F83">
        <v>18</v>
      </c>
      <c r="G83" s="3" t="str">
        <f t="shared" si="9"/>
        <v>Intermediate</v>
      </c>
      <c r="H83">
        <v>15</v>
      </c>
      <c r="I83" t="str">
        <f t="shared" si="10"/>
        <v>Sensitive</v>
      </c>
      <c r="J83">
        <v>0</v>
      </c>
      <c r="K83" t="str">
        <f t="shared" si="11"/>
        <v>Resistant</v>
      </c>
      <c r="L83">
        <v>25</v>
      </c>
      <c r="M83" s="8" t="str">
        <f t="shared" si="12"/>
        <v>Intermediate</v>
      </c>
      <c r="N83">
        <f t="shared" si="13"/>
        <v>1</v>
      </c>
      <c r="O83" t="str">
        <f t="shared" si="7"/>
        <v>Susceptible</v>
      </c>
    </row>
    <row r="84" spans="1:15">
      <c r="A84" t="s">
        <v>162</v>
      </c>
      <c r="B84" t="s">
        <v>64</v>
      </c>
      <c r="C84" s="14" t="s">
        <v>58</v>
      </c>
      <c r="D84">
        <v>17</v>
      </c>
      <c r="E84" s="3" t="str">
        <f t="shared" si="8"/>
        <v>Resistant</v>
      </c>
      <c r="F84">
        <v>12</v>
      </c>
      <c r="G84" s="3" t="str">
        <f t="shared" si="9"/>
        <v>Resistant</v>
      </c>
      <c r="H84">
        <v>15</v>
      </c>
      <c r="I84" t="str">
        <f t="shared" si="10"/>
        <v>Sensitive</v>
      </c>
      <c r="J84">
        <v>0</v>
      </c>
      <c r="K84" t="str">
        <f t="shared" si="11"/>
        <v>Resistant</v>
      </c>
      <c r="L84">
        <v>21</v>
      </c>
      <c r="M84" s="8" t="str">
        <f t="shared" si="12"/>
        <v>Resistant</v>
      </c>
      <c r="N84">
        <f t="shared" si="13"/>
        <v>4</v>
      </c>
      <c r="O84" t="str">
        <f t="shared" si="7"/>
        <v>XDR</v>
      </c>
    </row>
    <row r="85" spans="1:15">
      <c r="A85" t="s">
        <v>163</v>
      </c>
      <c r="B85" t="s">
        <v>64</v>
      </c>
      <c r="C85" s="14" t="s">
        <v>58</v>
      </c>
      <c r="D85">
        <v>24</v>
      </c>
      <c r="E85" s="3" t="str">
        <f t="shared" si="8"/>
        <v>Sensitive</v>
      </c>
      <c r="F85">
        <v>11</v>
      </c>
      <c r="G85" s="3" t="str">
        <f t="shared" si="9"/>
        <v>Resistant</v>
      </c>
      <c r="H85">
        <v>17</v>
      </c>
      <c r="I85" t="str">
        <f t="shared" si="10"/>
        <v>Sensitive</v>
      </c>
      <c r="J85">
        <v>0</v>
      </c>
      <c r="K85" t="str">
        <f t="shared" si="11"/>
        <v>Resistant</v>
      </c>
      <c r="L85">
        <v>21</v>
      </c>
      <c r="M85" s="8" t="str">
        <f t="shared" si="12"/>
        <v>Resistant</v>
      </c>
      <c r="N85">
        <f t="shared" si="13"/>
        <v>3</v>
      </c>
      <c r="O85" t="str">
        <f t="shared" si="7"/>
        <v>MDR</v>
      </c>
    </row>
    <row r="86" spans="1:15">
      <c r="A86" t="s">
        <v>164</v>
      </c>
      <c r="B86" t="s">
        <v>64</v>
      </c>
      <c r="C86" s="14" t="s">
        <v>58</v>
      </c>
      <c r="D86">
        <v>23</v>
      </c>
      <c r="E86" s="3" t="str">
        <f t="shared" si="8"/>
        <v>Sensitive</v>
      </c>
      <c r="F86">
        <v>12</v>
      </c>
      <c r="G86" s="3" t="str">
        <f t="shared" si="9"/>
        <v>Resistant</v>
      </c>
      <c r="H86">
        <v>8</v>
      </c>
      <c r="I86" t="str">
        <f t="shared" si="10"/>
        <v>Resistant</v>
      </c>
      <c r="J86">
        <v>0</v>
      </c>
      <c r="K86" t="str">
        <f t="shared" si="11"/>
        <v>Resistant</v>
      </c>
      <c r="L86">
        <v>22</v>
      </c>
      <c r="M86" s="8" t="str">
        <f t="shared" si="12"/>
        <v>Intermediate</v>
      </c>
      <c r="N86">
        <f t="shared" si="13"/>
        <v>3</v>
      </c>
      <c r="O86" t="str">
        <f t="shared" si="7"/>
        <v>MDR</v>
      </c>
    </row>
    <row r="87" spans="1:15">
      <c r="A87" t="s">
        <v>165</v>
      </c>
      <c r="B87" t="s">
        <v>64</v>
      </c>
      <c r="C87" s="14" t="s">
        <v>58</v>
      </c>
      <c r="D87">
        <v>22</v>
      </c>
      <c r="E87" s="3" t="str">
        <f t="shared" si="8"/>
        <v>Intermediate</v>
      </c>
      <c r="F87">
        <v>15</v>
      </c>
      <c r="G87" s="3" t="str">
        <f t="shared" si="9"/>
        <v>Resistant</v>
      </c>
      <c r="H87">
        <v>9</v>
      </c>
      <c r="I87" t="str">
        <f t="shared" si="10"/>
        <v>Resistant</v>
      </c>
      <c r="J87">
        <v>0</v>
      </c>
      <c r="K87" t="str">
        <f t="shared" si="11"/>
        <v>Resistant</v>
      </c>
      <c r="L87">
        <v>20</v>
      </c>
      <c r="M87" s="8" t="str">
        <f t="shared" si="12"/>
        <v>Resistant</v>
      </c>
      <c r="N87">
        <f t="shared" si="13"/>
        <v>4</v>
      </c>
      <c r="O87" t="str">
        <f t="shared" si="7"/>
        <v>XDR</v>
      </c>
    </row>
    <row r="88" spans="1:15">
      <c r="A88" t="s">
        <v>166</v>
      </c>
      <c r="B88" t="s">
        <v>64</v>
      </c>
      <c r="C88" s="14" t="s">
        <v>58</v>
      </c>
      <c r="D88">
        <v>24</v>
      </c>
      <c r="E88" s="3" t="str">
        <f t="shared" si="8"/>
        <v>Sensitive</v>
      </c>
      <c r="F88">
        <v>32</v>
      </c>
      <c r="G88" s="3" t="str">
        <f t="shared" si="9"/>
        <v>Sensitive</v>
      </c>
      <c r="H88">
        <v>22</v>
      </c>
      <c r="I88" t="str">
        <f t="shared" si="10"/>
        <v>Sensitive</v>
      </c>
      <c r="J88">
        <v>13</v>
      </c>
      <c r="K88" t="str">
        <f t="shared" si="11"/>
        <v>Resistant</v>
      </c>
      <c r="L88">
        <v>19</v>
      </c>
      <c r="M88" s="8" t="str">
        <f t="shared" si="12"/>
        <v>Resistant</v>
      </c>
      <c r="N88">
        <f t="shared" si="13"/>
        <v>2</v>
      </c>
      <c r="O88" t="str">
        <f t="shared" si="7"/>
        <v>Susceptible</v>
      </c>
    </row>
    <row r="89" spans="1:15">
      <c r="A89" t="s">
        <v>167</v>
      </c>
      <c r="B89" t="s">
        <v>64</v>
      </c>
      <c r="C89" s="14" t="s">
        <v>58</v>
      </c>
      <c r="D89">
        <v>22</v>
      </c>
      <c r="E89" s="3" t="str">
        <f t="shared" si="8"/>
        <v>Intermediate</v>
      </c>
      <c r="F89">
        <v>25</v>
      </c>
      <c r="G89" s="3" t="str">
        <f t="shared" si="9"/>
        <v>Sensitive</v>
      </c>
      <c r="H89">
        <v>18</v>
      </c>
      <c r="I89" t="str">
        <f t="shared" si="10"/>
        <v>Sensitive</v>
      </c>
      <c r="J89">
        <v>7</v>
      </c>
      <c r="K89" t="str">
        <f t="shared" si="11"/>
        <v>Resistant</v>
      </c>
      <c r="L89">
        <v>20</v>
      </c>
      <c r="M89" s="8" t="str">
        <f t="shared" si="12"/>
        <v>Resistant</v>
      </c>
      <c r="N89">
        <f t="shared" si="13"/>
        <v>2</v>
      </c>
      <c r="O89" t="str">
        <f t="shared" si="7"/>
        <v>Susceptible</v>
      </c>
    </row>
    <row r="90" spans="1:15">
      <c r="A90" t="s">
        <v>168</v>
      </c>
      <c r="B90" t="s">
        <v>64</v>
      </c>
      <c r="C90" s="14" t="s">
        <v>58</v>
      </c>
      <c r="D90">
        <v>20</v>
      </c>
      <c r="E90" s="3" t="str">
        <f t="shared" si="8"/>
        <v>Intermediate</v>
      </c>
      <c r="F90">
        <v>13</v>
      </c>
      <c r="G90" s="3" t="str">
        <f t="shared" si="9"/>
        <v>Resistant</v>
      </c>
      <c r="H90">
        <v>0</v>
      </c>
      <c r="I90" t="str">
        <f t="shared" si="10"/>
        <v>Resistant</v>
      </c>
      <c r="J90">
        <v>0</v>
      </c>
      <c r="K90" t="str">
        <f t="shared" si="11"/>
        <v>Resistant</v>
      </c>
      <c r="L90">
        <v>0</v>
      </c>
      <c r="M90" s="8" t="str">
        <f t="shared" si="12"/>
        <v>Resistant</v>
      </c>
      <c r="N90">
        <f t="shared" si="13"/>
        <v>4</v>
      </c>
      <c r="O90" t="str">
        <f t="shared" si="7"/>
        <v>XDR</v>
      </c>
    </row>
    <row r="91" spans="1:15">
      <c r="A91" t="s">
        <v>169</v>
      </c>
      <c r="B91" t="s">
        <v>64</v>
      </c>
      <c r="C91" s="14" t="s">
        <v>58</v>
      </c>
      <c r="D91">
        <v>20</v>
      </c>
      <c r="E91" s="3" t="str">
        <f t="shared" si="8"/>
        <v>Intermediate</v>
      </c>
      <c r="F91">
        <v>0</v>
      </c>
      <c r="G91" s="3" t="str">
        <f t="shared" si="9"/>
        <v>Resistant</v>
      </c>
      <c r="H91">
        <v>8</v>
      </c>
      <c r="I91" t="str">
        <f t="shared" si="10"/>
        <v>Resistant</v>
      </c>
      <c r="J91">
        <v>0</v>
      </c>
      <c r="K91" t="str">
        <f t="shared" si="11"/>
        <v>Resistant</v>
      </c>
      <c r="L91">
        <v>20</v>
      </c>
      <c r="M91" s="8" t="str">
        <f t="shared" si="12"/>
        <v>Resistant</v>
      </c>
      <c r="N91">
        <f t="shared" si="13"/>
        <v>4</v>
      </c>
      <c r="O91" t="str">
        <f t="shared" si="7"/>
        <v>XDR</v>
      </c>
    </row>
    <row r="92" spans="1:15">
      <c r="A92" t="s">
        <v>170</v>
      </c>
      <c r="B92" t="s">
        <v>64</v>
      </c>
      <c r="C92" s="14" t="s">
        <v>58</v>
      </c>
      <c r="D92">
        <v>23</v>
      </c>
      <c r="E92" s="3" t="str">
        <f t="shared" si="8"/>
        <v>Sensitive</v>
      </c>
      <c r="F92">
        <v>0</v>
      </c>
      <c r="G92" s="3" t="str">
        <f t="shared" si="9"/>
        <v>Resistant</v>
      </c>
      <c r="H92">
        <v>15</v>
      </c>
      <c r="I92" t="str">
        <f t="shared" si="10"/>
        <v>Sensitive</v>
      </c>
      <c r="J92">
        <v>0</v>
      </c>
      <c r="K92" t="str">
        <f t="shared" si="11"/>
        <v>Resistant</v>
      </c>
      <c r="L92">
        <v>25</v>
      </c>
      <c r="M92" s="8" t="str">
        <f t="shared" si="12"/>
        <v>Intermediate</v>
      </c>
      <c r="N92">
        <f t="shared" si="13"/>
        <v>2</v>
      </c>
      <c r="O92" t="str">
        <f t="shared" si="7"/>
        <v>Susceptible</v>
      </c>
    </row>
    <row r="93" spans="1:15">
      <c r="A93" t="s">
        <v>171</v>
      </c>
      <c r="B93" t="s">
        <v>64</v>
      </c>
      <c r="C93" s="14" t="s">
        <v>58</v>
      </c>
      <c r="D93">
        <v>25</v>
      </c>
      <c r="E93" s="3" t="str">
        <f t="shared" si="8"/>
        <v>Sensitive</v>
      </c>
      <c r="F93">
        <v>11</v>
      </c>
      <c r="G93" s="3" t="str">
        <f t="shared" si="9"/>
        <v>Resistant</v>
      </c>
      <c r="H93">
        <v>16</v>
      </c>
      <c r="I93" t="str">
        <f t="shared" si="10"/>
        <v>Sensitive</v>
      </c>
      <c r="J93">
        <v>0</v>
      </c>
      <c r="K93" t="str">
        <f t="shared" si="11"/>
        <v>Resistant</v>
      </c>
      <c r="L93">
        <v>15</v>
      </c>
      <c r="M93" s="8" t="str">
        <f t="shared" si="12"/>
        <v>Resistant</v>
      </c>
      <c r="N93">
        <f t="shared" si="13"/>
        <v>3</v>
      </c>
      <c r="O93" t="str">
        <f t="shared" si="7"/>
        <v>MDR</v>
      </c>
    </row>
    <row r="94" spans="1:15">
      <c r="A94" t="s">
        <v>172</v>
      </c>
      <c r="B94" t="s">
        <v>64</v>
      </c>
      <c r="C94" s="14" t="s">
        <v>58</v>
      </c>
      <c r="D94">
        <v>23</v>
      </c>
      <c r="E94" s="3" t="str">
        <f t="shared" si="8"/>
        <v>Sensitive</v>
      </c>
      <c r="F94">
        <v>13</v>
      </c>
      <c r="G94" s="3" t="str">
        <f t="shared" si="9"/>
        <v>Resistant</v>
      </c>
      <c r="H94">
        <v>15</v>
      </c>
      <c r="I94" t="str">
        <f t="shared" si="10"/>
        <v>Sensitive</v>
      </c>
      <c r="J94">
        <v>0</v>
      </c>
      <c r="K94" t="str">
        <f t="shared" si="11"/>
        <v>Resistant</v>
      </c>
      <c r="L94">
        <v>17</v>
      </c>
      <c r="M94" s="8" t="str">
        <f t="shared" si="12"/>
        <v>Resistant</v>
      </c>
      <c r="N94">
        <f t="shared" si="13"/>
        <v>3</v>
      </c>
      <c r="O94" t="str">
        <f t="shared" si="7"/>
        <v>MDR</v>
      </c>
    </row>
    <row r="95" spans="1:15">
      <c r="A95" t="s">
        <v>173</v>
      </c>
      <c r="B95" t="s">
        <v>64</v>
      </c>
      <c r="C95" s="14" t="s">
        <v>58</v>
      </c>
      <c r="D95">
        <v>27</v>
      </c>
      <c r="E95" s="3" t="str">
        <f t="shared" si="8"/>
        <v>Sensitive</v>
      </c>
      <c r="F95">
        <v>8</v>
      </c>
      <c r="G95" s="3" t="str">
        <f t="shared" si="9"/>
        <v>Resistant</v>
      </c>
      <c r="H95">
        <v>20</v>
      </c>
      <c r="I95" t="str">
        <f t="shared" si="10"/>
        <v>Sensitive</v>
      </c>
      <c r="J95">
        <v>12</v>
      </c>
      <c r="K95" t="str">
        <f t="shared" si="11"/>
        <v>Resistant</v>
      </c>
      <c r="L95">
        <v>0</v>
      </c>
      <c r="M95" s="8" t="str">
        <f t="shared" si="12"/>
        <v>Resistant</v>
      </c>
      <c r="N95">
        <f t="shared" si="13"/>
        <v>3</v>
      </c>
      <c r="O95" t="str">
        <f t="shared" si="7"/>
        <v>MDR</v>
      </c>
    </row>
    <row r="96" spans="1:15">
      <c r="A96" t="s">
        <v>174</v>
      </c>
      <c r="B96" t="s">
        <v>64</v>
      </c>
      <c r="C96" s="14" t="s">
        <v>58</v>
      </c>
      <c r="D96">
        <v>25</v>
      </c>
      <c r="E96" s="3" t="str">
        <f t="shared" si="8"/>
        <v>Sensitive</v>
      </c>
      <c r="F96">
        <v>0</v>
      </c>
      <c r="G96" s="3" t="str">
        <f t="shared" si="9"/>
        <v>Resistant</v>
      </c>
      <c r="H96">
        <v>17</v>
      </c>
      <c r="I96" t="str">
        <f t="shared" si="10"/>
        <v>Sensitive</v>
      </c>
      <c r="J96">
        <v>0</v>
      </c>
      <c r="K96" t="str">
        <f t="shared" si="11"/>
        <v>Resistant</v>
      </c>
      <c r="L96">
        <v>11</v>
      </c>
      <c r="M96" s="8" t="str">
        <f t="shared" si="12"/>
        <v>Resistant</v>
      </c>
      <c r="N96">
        <f t="shared" si="13"/>
        <v>3</v>
      </c>
      <c r="O96" t="str">
        <f t="shared" si="7"/>
        <v>MDR</v>
      </c>
    </row>
    <row r="97" spans="1:15">
      <c r="A97" t="s">
        <v>175</v>
      </c>
      <c r="B97" t="s">
        <v>64</v>
      </c>
      <c r="C97" s="14" t="s">
        <v>58</v>
      </c>
      <c r="D97">
        <v>25</v>
      </c>
      <c r="E97" s="3" t="str">
        <f t="shared" si="8"/>
        <v>Sensitive</v>
      </c>
      <c r="F97">
        <v>0</v>
      </c>
      <c r="G97" s="3" t="str">
        <f t="shared" si="9"/>
        <v>Resistant</v>
      </c>
      <c r="H97">
        <v>16</v>
      </c>
      <c r="I97" t="str">
        <f t="shared" si="10"/>
        <v>Sensitive</v>
      </c>
      <c r="J97">
        <v>0</v>
      </c>
      <c r="K97" t="str">
        <f t="shared" si="11"/>
        <v>Resistant</v>
      </c>
      <c r="L97">
        <v>19</v>
      </c>
      <c r="M97" s="8" t="str">
        <f t="shared" si="12"/>
        <v>Resistant</v>
      </c>
      <c r="N97">
        <f t="shared" si="13"/>
        <v>3</v>
      </c>
      <c r="O97" t="str">
        <f t="shared" si="7"/>
        <v>MDR</v>
      </c>
    </row>
    <row r="98" spans="1:15">
      <c r="A98" t="s">
        <v>176</v>
      </c>
      <c r="B98" t="s">
        <v>64</v>
      </c>
      <c r="C98" s="14" t="s">
        <v>60</v>
      </c>
      <c r="D98">
        <v>23</v>
      </c>
      <c r="E98" s="3" t="str">
        <f t="shared" si="8"/>
        <v>Sensitive</v>
      </c>
      <c r="F98">
        <v>10</v>
      </c>
      <c r="G98" s="3" t="str">
        <f t="shared" si="9"/>
        <v>Resistant</v>
      </c>
      <c r="H98">
        <v>15</v>
      </c>
      <c r="I98" t="str">
        <f t="shared" si="10"/>
        <v>Sensitive</v>
      </c>
      <c r="J98">
        <v>0</v>
      </c>
      <c r="K98" t="str">
        <f t="shared" si="11"/>
        <v>Resistant</v>
      </c>
      <c r="L98">
        <v>15</v>
      </c>
      <c r="M98" s="8" t="str">
        <f t="shared" si="12"/>
        <v>Resistant</v>
      </c>
      <c r="N98">
        <f t="shared" si="13"/>
        <v>3</v>
      </c>
      <c r="O98" t="str">
        <f t="shared" si="7"/>
        <v>MDR</v>
      </c>
    </row>
    <row r="99" spans="1:15">
      <c r="A99" t="s">
        <v>177</v>
      </c>
      <c r="B99" t="s">
        <v>64</v>
      </c>
      <c r="C99" s="14" t="s">
        <v>60</v>
      </c>
      <c r="D99">
        <v>20</v>
      </c>
      <c r="E99" s="3" t="str">
        <f t="shared" si="8"/>
        <v>Intermediate</v>
      </c>
      <c r="F99">
        <v>11</v>
      </c>
      <c r="G99" s="3" t="str">
        <f t="shared" si="9"/>
        <v>Resistant</v>
      </c>
      <c r="H99">
        <v>14</v>
      </c>
      <c r="I99" t="str">
        <f t="shared" si="10"/>
        <v>Intermediate</v>
      </c>
      <c r="J99">
        <v>0</v>
      </c>
      <c r="K99" t="str">
        <f t="shared" si="11"/>
        <v>Resistant</v>
      </c>
      <c r="L99">
        <v>20</v>
      </c>
      <c r="M99" s="8" t="str">
        <f t="shared" si="12"/>
        <v>Resistant</v>
      </c>
      <c r="N99">
        <f t="shared" si="13"/>
        <v>3</v>
      </c>
      <c r="O99" t="str">
        <f t="shared" si="7"/>
        <v>MDR</v>
      </c>
    </row>
    <row r="100" spans="1:15">
      <c r="A100" t="s">
        <v>178</v>
      </c>
      <c r="B100" t="s">
        <v>64</v>
      </c>
      <c r="C100" s="14" t="s">
        <v>60</v>
      </c>
      <c r="D100">
        <v>20</v>
      </c>
      <c r="E100" s="3" t="str">
        <f t="shared" si="8"/>
        <v>Intermediate</v>
      </c>
      <c r="F100">
        <v>11</v>
      </c>
      <c r="G100" s="3" t="str">
        <f t="shared" si="9"/>
        <v>Resistant</v>
      </c>
      <c r="H100">
        <v>10</v>
      </c>
      <c r="I100" t="str">
        <f t="shared" si="10"/>
        <v>Resistant</v>
      </c>
      <c r="J100">
        <v>0</v>
      </c>
      <c r="K100" t="str">
        <f t="shared" si="11"/>
        <v>Resistant</v>
      </c>
      <c r="L100">
        <v>17</v>
      </c>
      <c r="M100" s="8" t="str">
        <f t="shared" si="12"/>
        <v>Resistant</v>
      </c>
      <c r="N100">
        <f t="shared" si="13"/>
        <v>4</v>
      </c>
      <c r="O100" t="str">
        <f t="shared" si="7"/>
        <v>XDR</v>
      </c>
    </row>
    <row r="101" spans="1:15">
      <c r="A101" t="s">
        <v>179</v>
      </c>
      <c r="B101" t="s">
        <v>64</v>
      </c>
      <c r="C101" s="14" t="s">
        <v>60</v>
      </c>
      <c r="D101">
        <v>20</v>
      </c>
      <c r="E101" s="3" t="str">
        <f t="shared" si="8"/>
        <v>Intermediate</v>
      </c>
      <c r="F101">
        <v>0</v>
      </c>
      <c r="G101" s="3" t="str">
        <f t="shared" si="9"/>
        <v>Resistant</v>
      </c>
      <c r="H101">
        <v>15</v>
      </c>
      <c r="I101" t="str">
        <f t="shared" si="10"/>
        <v>Sensitive</v>
      </c>
      <c r="J101">
        <v>0</v>
      </c>
      <c r="K101" t="str">
        <f t="shared" si="11"/>
        <v>Resistant</v>
      </c>
      <c r="L101">
        <v>0</v>
      </c>
      <c r="M101" s="8" t="str">
        <f t="shared" si="12"/>
        <v>Resistant</v>
      </c>
      <c r="N101">
        <f t="shared" si="13"/>
        <v>3</v>
      </c>
      <c r="O101" t="str">
        <f t="shared" si="7"/>
        <v>MDR</v>
      </c>
    </row>
    <row r="102" spans="1:15">
      <c r="A102" t="s">
        <v>180</v>
      </c>
      <c r="B102" t="s">
        <v>64</v>
      </c>
      <c r="C102" s="14" t="s">
        <v>60</v>
      </c>
      <c r="D102">
        <v>20</v>
      </c>
      <c r="E102" s="3" t="str">
        <f t="shared" si="8"/>
        <v>Intermediate</v>
      </c>
      <c r="F102">
        <v>12</v>
      </c>
      <c r="G102" s="3" t="str">
        <f t="shared" si="9"/>
        <v>Resistant</v>
      </c>
      <c r="H102">
        <v>17</v>
      </c>
      <c r="I102" t="str">
        <f t="shared" si="10"/>
        <v>Sensitive</v>
      </c>
      <c r="J102">
        <v>0</v>
      </c>
      <c r="K102" t="str">
        <f t="shared" si="11"/>
        <v>Resistant</v>
      </c>
      <c r="L102">
        <v>17</v>
      </c>
      <c r="M102" s="8" t="str">
        <f t="shared" si="12"/>
        <v>Resistant</v>
      </c>
      <c r="N102">
        <f t="shared" si="13"/>
        <v>3</v>
      </c>
      <c r="O102" t="str">
        <f t="shared" si="7"/>
        <v>MDR</v>
      </c>
    </row>
    <row r="103" spans="1:15">
      <c r="A103" t="s">
        <v>181</v>
      </c>
      <c r="B103" t="s">
        <v>64</v>
      </c>
      <c r="C103" s="14" t="s">
        <v>60</v>
      </c>
      <c r="D103">
        <v>23</v>
      </c>
      <c r="E103" s="3" t="str">
        <f t="shared" si="8"/>
        <v>Sensitive</v>
      </c>
      <c r="F103">
        <v>15</v>
      </c>
      <c r="G103" s="3" t="str">
        <f t="shared" si="9"/>
        <v>Resistant</v>
      </c>
      <c r="H103">
        <v>15</v>
      </c>
      <c r="I103" t="str">
        <f t="shared" si="10"/>
        <v>Sensitive</v>
      </c>
      <c r="J103">
        <v>0</v>
      </c>
      <c r="K103" t="str">
        <f t="shared" si="11"/>
        <v>Resistant</v>
      </c>
      <c r="L103">
        <v>7</v>
      </c>
      <c r="M103" s="8" t="str">
        <f t="shared" si="12"/>
        <v>Resistant</v>
      </c>
      <c r="N103">
        <f t="shared" si="13"/>
        <v>3</v>
      </c>
      <c r="O103" t="str">
        <f t="shared" si="7"/>
        <v>MDR</v>
      </c>
    </row>
    <row r="104" spans="1:15">
      <c r="A104" t="s">
        <v>182</v>
      </c>
      <c r="B104" t="s">
        <v>64</v>
      </c>
      <c r="C104" s="14" t="s">
        <v>60</v>
      </c>
      <c r="D104">
        <v>25</v>
      </c>
      <c r="E104" s="3" t="str">
        <f t="shared" si="8"/>
        <v>Sensitive</v>
      </c>
      <c r="F104">
        <v>0</v>
      </c>
      <c r="G104" s="3" t="str">
        <f t="shared" si="9"/>
        <v>Resistant</v>
      </c>
      <c r="H104">
        <v>17</v>
      </c>
      <c r="I104" t="str">
        <f t="shared" si="10"/>
        <v>Sensitive</v>
      </c>
      <c r="J104">
        <v>7</v>
      </c>
      <c r="K104" t="str">
        <f t="shared" si="11"/>
        <v>Resistant</v>
      </c>
      <c r="L104">
        <v>21</v>
      </c>
      <c r="M104" s="8" t="str">
        <f t="shared" si="12"/>
        <v>Resistant</v>
      </c>
      <c r="N104">
        <f t="shared" si="13"/>
        <v>3</v>
      </c>
      <c r="O104" t="str">
        <f t="shared" si="7"/>
        <v>MDR</v>
      </c>
    </row>
    <row r="105" spans="1:15">
      <c r="A105" t="s">
        <v>183</v>
      </c>
      <c r="B105" t="s">
        <v>64</v>
      </c>
      <c r="C105" s="14" t="s">
        <v>60</v>
      </c>
      <c r="D105">
        <v>30</v>
      </c>
      <c r="E105" s="3" t="str">
        <f t="shared" si="8"/>
        <v>Sensitive</v>
      </c>
      <c r="F105">
        <v>0</v>
      </c>
      <c r="G105" s="3" t="str">
        <f t="shared" si="9"/>
        <v>Resistant</v>
      </c>
      <c r="H105">
        <v>19</v>
      </c>
      <c r="I105" t="str">
        <f t="shared" si="10"/>
        <v>Sensitive</v>
      </c>
      <c r="J105">
        <v>15</v>
      </c>
      <c r="K105" t="str">
        <f t="shared" si="11"/>
        <v>Intermediate</v>
      </c>
      <c r="L105">
        <v>25</v>
      </c>
      <c r="M105" s="8" t="str">
        <f t="shared" si="12"/>
        <v>Intermediate</v>
      </c>
      <c r="N105">
        <f t="shared" si="13"/>
        <v>1</v>
      </c>
      <c r="O105" t="str">
        <f t="shared" si="7"/>
        <v>Susceptible</v>
      </c>
    </row>
    <row r="106" spans="1:15">
      <c r="A106" t="s">
        <v>184</v>
      </c>
      <c r="B106" t="s">
        <v>64</v>
      </c>
      <c r="C106" s="14" t="s">
        <v>60</v>
      </c>
      <c r="D106">
        <v>15</v>
      </c>
      <c r="E106" s="3" t="str">
        <f t="shared" si="8"/>
        <v>Resistant</v>
      </c>
      <c r="F106">
        <v>0</v>
      </c>
      <c r="G106" s="3" t="str">
        <f t="shared" si="9"/>
        <v>Resistant</v>
      </c>
      <c r="H106">
        <v>0</v>
      </c>
      <c r="I106" t="str">
        <f t="shared" si="10"/>
        <v>Resistant</v>
      </c>
      <c r="J106">
        <v>0</v>
      </c>
      <c r="K106" t="str">
        <f t="shared" si="11"/>
        <v>Resistant</v>
      </c>
      <c r="L106">
        <v>24</v>
      </c>
      <c r="M106" s="8" t="str">
        <f t="shared" si="12"/>
        <v>Intermediate</v>
      </c>
      <c r="N106">
        <f t="shared" si="13"/>
        <v>4</v>
      </c>
      <c r="O106" t="str">
        <f t="shared" si="7"/>
        <v>XDR</v>
      </c>
    </row>
    <row r="107" spans="1:15">
      <c r="A107" t="s">
        <v>185</v>
      </c>
      <c r="B107" t="s">
        <v>64</v>
      </c>
      <c r="C107" s="14" t="s">
        <v>60</v>
      </c>
      <c r="D107">
        <v>30</v>
      </c>
      <c r="E107" s="3" t="str">
        <f t="shared" si="8"/>
        <v>Sensitive</v>
      </c>
      <c r="F107">
        <v>0</v>
      </c>
      <c r="G107" s="3" t="str">
        <f t="shared" si="9"/>
        <v>Resistant</v>
      </c>
      <c r="H107">
        <v>15</v>
      </c>
      <c r="I107" t="str">
        <f t="shared" si="10"/>
        <v>Sensitive</v>
      </c>
      <c r="J107">
        <v>7</v>
      </c>
      <c r="K107" t="str">
        <f t="shared" si="11"/>
        <v>Resistant</v>
      </c>
      <c r="L107">
        <v>20</v>
      </c>
      <c r="M107" s="8" t="str">
        <f t="shared" si="12"/>
        <v>Resistant</v>
      </c>
      <c r="N107">
        <f t="shared" si="13"/>
        <v>3</v>
      </c>
      <c r="O107" t="str">
        <f t="shared" si="7"/>
        <v>MDR</v>
      </c>
    </row>
    <row r="108" spans="1:15">
      <c r="A108" t="s">
        <v>186</v>
      </c>
      <c r="B108" t="s">
        <v>64</v>
      </c>
      <c r="C108" s="14" t="s">
        <v>60</v>
      </c>
      <c r="D108">
        <v>20</v>
      </c>
      <c r="E108" s="3" t="str">
        <f t="shared" si="8"/>
        <v>Intermediate</v>
      </c>
      <c r="F108">
        <v>0</v>
      </c>
      <c r="G108" s="3" t="str">
        <f t="shared" si="9"/>
        <v>Resistant</v>
      </c>
      <c r="H108">
        <v>16</v>
      </c>
      <c r="I108" t="str">
        <f t="shared" si="10"/>
        <v>Sensitive</v>
      </c>
      <c r="J108">
        <v>0</v>
      </c>
      <c r="K108" t="str">
        <f t="shared" si="11"/>
        <v>Resistant</v>
      </c>
      <c r="L108">
        <v>15</v>
      </c>
      <c r="M108" s="8" t="str">
        <f t="shared" si="12"/>
        <v>Resistant</v>
      </c>
      <c r="N108">
        <f t="shared" si="13"/>
        <v>3</v>
      </c>
      <c r="O108" t="str">
        <f t="shared" si="7"/>
        <v>MDR</v>
      </c>
    </row>
    <row r="109" spans="1:15">
      <c r="A109" t="s">
        <v>187</v>
      </c>
      <c r="B109" t="s">
        <v>64</v>
      </c>
      <c r="C109" s="14" t="s">
        <v>60</v>
      </c>
      <c r="D109">
        <v>25</v>
      </c>
      <c r="E109" s="3" t="str">
        <f t="shared" si="8"/>
        <v>Sensitive</v>
      </c>
      <c r="F109">
        <v>0</v>
      </c>
      <c r="G109" s="3" t="str">
        <f t="shared" si="9"/>
        <v>Resistant</v>
      </c>
      <c r="H109">
        <v>20</v>
      </c>
      <c r="I109" t="str">
        <f t="shared" si="10"/>
        <v>Sensitive</v>
      </c>
      <c r="J109">
        <v>0</v>
      </c>
      <c r="K109" t="str">
        <f t="shared" si="11"/>
        <v>Resistant</v>
      </c>
      <c r="L109">
        <v>20</v>
      </c>
      <c r="M109" s="8" t="str">
        <f t="shared" si="12"/>
        <v>Resistant</v>
      </c>
      <c r="N109">
        <f t="shared" si="13"/>
        <v>3</v>
      </c>
      <c r="O109" t="str">
        <f t="shared" si="7"/>
        <v>MDR</v>
      </c>
    </row>
    <row r="110" spans="1:15">
      <c r="A110" t="s">
        <v>188</v>
      </c>
      <c r="B110" t="s">
        <v>64</v>
      </c>
      <c r="C110" s="14" t="s">
        <v>60</v>
      </c>
      <c r="D110">
        <v>20</v>
      </c>
      <c r="E110" s="3" t="str">
        <f t="shared" si="8"/>
        <v>Intermediate</v>
      </c>
      <c r="F110">
        <v>0</v>
      </c>
      <c r="G110" s="3" t="str">
        <f t="shared" si="9"/>
        <v>Resistant</v>
      </c>
      <c r="H110">
        <v>19</v>
      </c>
      <c r="I110" t="str">
        <f t="shared" si="10"/>
        <v>Sensitive</v>
      </c>
      <c r="J110">
        <v>0</v>
      </c>
      <c r="K110" t="str">
        <f t="shared" si="11"/>
        <v>Resistant</v>
      </c>
      <c r="L110">
        <v>22</v>
      </c>
      <c r="M110" s="8" t="str">
        <f t="shared" si="12"/>
        <v>Intermediate</v>
      </c>
      <c r="N110">
        <f t="shared" si="13"/>
        <v>2</v>
      </c>
      <c r="O110" t="str">
        <f t="shared" si="7"/>
        <v>Susceptible</v>
      </c>
    </row>
    <row r="111" spans="1:15">
      <c r="A111" t="s">
        <v>189</v>
      </c>
      <c r="B111" t="s">
        <v>64</v>
      </c>
      <c r="C111" s="14" t="s">
        <v>60</v>
      </c>
      <c r="D111">
        <v>20</v>
      </c>
      <c r="E111" s="3" t="str">
        <f t="shared" si="8"/>
        <v>Intermediate</v>
      </c>
      <c r="F111">
        <v>0</v>
      </c>
      <c r="G111" s="3" t="str">
        <f t="shared" si="9"/>
        <v>Resistant</v>
      </c>
      <c r="H111">
        <v>15</v>
      </c>
      <c r="I111" t="str">
        <f t="shared" si="10"/>
        <v>Sensitive</v>
      </c>
      <c r="J111">
        <v>0</v>
      </c>
      <c r="K111" t="str">
        <f t="shared" si="11"/>
        <v>Resistant</v>
      </c>
      <c r="L111">
        <v>20</v>
      </c>
      <c r="M111" s="8" t="str">
        <f t="shared" si="12"/>
        <v>Resistant</v>
      </c>
      <c r="N111">
        <f t="shared" si="13"/>
        <v>3</v>
      </c>
      <c r="O111" t="str">
        <f t="shared" si="7"/>
        <v>MDR</v>
      </c>
    </row>
    <row r="112" spans="1:15">
      <c r="A112" t="s">
        <v>190</v>
      </c>
      <c r="B112" t="s">
        <v>64</v>
      </c>
      <c r="C112" s="14" t="s">
        <v>60</v>
      </c>
      <c r="D112">
        <v>30</v>
      </c>
      <c r="E112" s="3" t="str">
        <f t="shared" si="8"/>
        <v>Sensitive</v>
      </c>
      <c r="F112">
        <v>7</v>
      </c>
      <c r="G112" s="3" t="str">
        <f t="shared" si="9"/>
        <v>Resistant</v>
      </c>
      <c r="H112">
        <v>19</v>
      </c>
      <c r="I112" t="str">
        <f t="shared" si="10"/>
        <v>Sensitive</v>
      </c>
      <c r="J112">
        <v>0</v>
      </c>
      <c r="K112" t="str">
        <f t="shared" si="11"/>
        <v>Resistant</v>
      </c>
      <c r="L112">
        <v>22</v>
      </c>
      <c r="M112" s="8" t="str">
        <f t="shared" si="12"/>
        <v>Intermediate</v>
      </c>
      <c r="N112">
        <f t="shared" si="13"/>
        <v>2</v>
      </c>
      <c r="O112" t="str">
        <f t="shared" si="7"/>
        <v>Susceptible</v>
      </c>
    </row>
    <row r="113" spans="1:15">
      <c r="A113" t="s">
        <v>191</v>
      </c>
      <c r="B113" t="s">
        <v>64</v>
      </c>
      <c r="C113" s="14" t="s">
        <v>60</v>
      </c>
      <c r="D113">
        <v>20</v>
      </c>
      <c r="E113" s="3" t="str">
        <f t="shared" si="8"/>
        <v>Intermediate</v>
      </c>
      <c r="F113">
        <v>20</v>
      </c>
      <c r="G113" s="3" t="str">
        <f t="shared" si="9"/>
        <v>Intermediate</v>
      </c>
      <c r="H113">
        <v>10</v>
      </c>
      <c r="I113" t="str">
        <f t="shared" si="10"/>
        <v>Resistant</v>
      </c>
      <c r="J113">
        <v>0</v>
      </c>
      <c r="K113" t="str">
        <f t="shared" si="11"/>
        <v>Resistant</v>
      </c>
      <c r="L113">
        <v>20</v>
      </c>
      <c r="M113" s="8" t="str">
        <f t="shared" si="12"/>
        <v>Resistant</v>
      </c>
      <c r="N113">
        <f t="shared" si="13"/>
        <v>3</v>
      </c>
      <c r="O113" t="str">
        <f t="shared" si="7"/>
        <v>MDR</v>
      </c>
    </row>
    <row r="114" spans="1:15">
      <c r="A114" t="s">
        <v>192</v>
      </c>
      <c r="B114" t="s">
        <v>64</v>
      </c>
      <c r="C114" s="14" t="s">
        <v>60</v>
      </c>
      <c r="D114">
        <v>25</v>
      </c>
      <c r="E114" s="3" t="str">
        <f t="shared" si="8"/>
        <v>Sensitive</v>
      </c>
      <c r="F114">
        <v>0</v>
      </c>
      <c r="G114" s="3" t="str">
        <f t="shared" si="9"/>
        <v>Resistant</v>
      </c>
      <c r="H114">
        <v>28</v>
      </c>
      <c r="I114" t="str">
        <f t="shared" si="10"/>
        <v>Sensitive</v>
      </c>
      <c r="J114">
        <v>0</v>
      </c>
      <c r="K114" t="str">
        <f t="shared" si="11"/>
        <v>Resistant</v>
      </c>
      <c r="L114">
        <v>25</v>
      </c>
      <c r="M114" s="8" t="str">
        <f t="shared" si="12"/>
        <v>Intermediate</v>
      </c>
      <c r="N114">
        <f t="shared" si="13"/>
        <v>2</v>
      </c>
      <c r="O114" t="str">
        <f t="shared" si="7"/>
        <v>Susceptible</v>
      </c>
    </row>
    <row r="115" spans="1:15">
      <c r="A115" t="s">
        <v>193</v>
      </c>
      <c r="B115" t="s">
        <v>64</v>
      </c>
      <c r="C115" s="14" t="s">
        <v>60</v>
      </c>
      <c r="D115">
        <v>20</v>
      </c>
      <c r="E115" s="3" t="str">
        <f t="shared" si="8"/>
        <v>Intermediate</v>
      </c>
      <c r="F115">
        <v>0</v>
      </c>
      <c r="G115" s="3" t="str">
        <f t="shared" si="9"/>
        <v>Resistant</v>
      </c>
      <c r="H115">
        <v>20</v>
      </c>
      <c r="I115" t="str">
        <f t="shared" si="10"/>
        <v>Sensitive</v>
      </c>
      <c r="J115">
        <v>0</v>
      </c>
      <c r="K115" t="str">
        <f t="shared" si="11"/>
        <v>Resistant</v>
      </c>
      <c r="L115">
        <v>20</v>
      </c>
      <c r="M115" s="8" t="str">
        <f t="shared" si="12"/>
        <v>Resistant</v>
      </c>
      <c r="N115">
        <f t="shared" si="13"/>
        <v>3</v>
      </c>
      <c r="O115" t="str">
        <f t="shared" si="7"/>
        <v>MDR</v>
      </c>
    </row>
    <row r="116" spans="1:15">
      <c r="A116" t="s">
        <v>194</v>
      </c>
      <c r="B116" t="s">
        <v>64</v>
      </c>
      <c r="C116" s="14" t="s">
        <v>60</v>
      </c>
      <c r="D116">
        <v>30</v>
      </c>
      <c r="E116" s="3" t="str">
        <f t="shared" si="8"/>
        <v>Sensitive</v>
      </c>
      <c r="F116">
        <v>0</v>
      </c>
      <c r="G116" s="3" t="str">
        <f t="shared" si="9"/>
        <v>Resistant</v>
      </c>
      <c r="H116">
        <v>20</v>
      </c>
      <c r="I116" t="str">
        <f t="shared" si="10"/>
        <v>Sensitive</v>
      </c>
      <c r="J116">
        <v>20</v>
      </c>
      <c r="K116" t="str">
        <f t="shared" si="11"/>
        <v>Sensitive</v>
      </c>
      <c r="L116">
        <v>20</v>
      </c>
      <c r="M116" s="8" t="str">
        <f t="shared" si="12"/>
        <v>Resistant</v>
      </c>
      <c r="N116">
        <f t="shared" si="13"/>
        <v>2</v>
      </c>
      <c r="O116" t="str">
        <f t="shared" si="7"/>
        <v>Susceptible</v>
      </c>
    </row>
    <row r="117" spans="1:15">
      <c r="A117" t="s">
        <v>195</v>
      </c>
      <c r="B117" t="s">
        <v>64</v>
      </c>
      <c r="C117" s="14" t="s">
        <v>60</v>
      </c>
      <c r="D117">
        <v>25</v>
      </c>
      <c r="E117" s="3" t="str">
        <f t="shared" si="8"/>
        <v>Sensitive</v>
      </c>
      <c r="F117">
        <v>10</v>
      </c>
      <c r="G117" s="3" t="str">
        <f t="shared" si="9"/>
        <v>Resistant</v>
      </c>
      <c r="H117">
        <v>15</v>
      </c>
      <c r="I117" t="str">
        <f t="shared" si="10"/>
        <v>Sensitive</v>
      </c>
      <c r="J117">
        <v>0</v>
      </c>
      <c r="K117" t="str">
        <f t="shared" si="11"/>
        <v>Resistant</v>
      </c>
      <c r="L117">
        <v>20</v>
      </c>
      <c r="M117" s="8" t="str">
        <f t="shared" si="12"/>
        <v>Resistant</v>
      </c>
      <c r="N117">
        <f t="shared" si="13"/>
        <v>3</v>
      </c>
      <c r="O117" t="str">
        <f t="shared" si="7"/>
        <v>MDR</v>
      </c>
    </row>
    <row r="118" spans="1:15">
      <c r="A118" t="s">
        <v>196</v>
      </c>
      <c r="B118" t="s">
        <v>64</v>
      </c>
      <c r="C118" s="14" t="s">
        <v>60</v>
      </c>
      <c r="D118">
        <v>25</v>
      </c>
      <c r="E118" s="3" t="str">
        <f t="shared" si="8"/>
        <v>Sensitive</v>
      </c>
      <c r="F118">
        <v>10</v>
      </c>
      <c r="G118" s="3" t="str">
        <f t="shared" si="9"/>
        <v>Resistant</v>
      </c>
      <c r="H118">
        <v>20</v>
      </c>
      <c r="I118" t="str">
        <f t="shared" si="10"/>
        <v>Sensitive</v>
      </c>
      <c r="J118">
        <v>22</v>
      </c>
      <c r="K118" t="str">
        <f t="shared" si="11"/>
        <v>Sensitive</v>
      </c>
      <c r="L118">
        <v>25</v>
      </c>
      <c r="M118" s="8" t="str">
        <f t="shared" si="12"/>
        <v>Intermediate</v>
      </c>
      <c r="N118">
        <f t="shared" si="13"/>
        <v>1</v>
      </c>
      <c r="O118" t="str">
        <f t="shared" si="7"/>
        <v>Susceptible</v>
      </c>
    </row>
    <row r="119" spans="1:15">
      <c r="A119" t="s">
        <v>197</v>
      </c>
      <c r="B119" t="s">
        <v>64</v>
      </c>
      <c r="C119" s="14" t="s">
        <v>60</v>
      </c>
      <c r="D119">
        <v>30</v>
      </c>
      <c r="E119" s="3" t="str">
        <f t="shared" si="8"/>
        <v>Sensitive</v>
      </c>
      <c r="F119">
        <v>0</v>
      </c>
      <c r="G119" s="3" t="str">
        <f t="shared" si="9"/>
        <v>Resistant</v>
      </c>
      <c r="H119">
        <v>20</v>
      </c>
      <c r="I119" t="str">
        <f t="shared" si="10"/>
        <v>Sensitive</v>
      </c>
      <c r="J119">
        <v>0</v>
      </c>
      <c r="K119" t="str">
        <f t="shared" si="11"/>
        <v>Resistant</v>
      </c>
      <c r="L119">
        <v>22</v>
      </c>
      <c r="M119" s="8" t="str">
        <f t="shared" si="12"/>
        <v>Intermediate</v>
      </c>
      <c r="N119">
        <f t="shared" si="13"/>
        <v>2</v>
      </c>
      <c r="O119" t="str">
        <f t="shared" si="7"/>
        <v>Susceptible</v>
      </c>
    </row>
    <row r="120" spans="1:15">
      <c r="A120" t="s">
        <v>198</v>
      </c>
      <c r="B120" t="s">
        <v>64</v>
      </c>
      <c r="C120" s="14" t="s">
        <v>60</v>
      </c>
      <c r="D120">
        <v>30</v>
      </c>
      <c r="E120" s="3" t="str">
        <f t="shared" si="8"/>
        <v>Sensitive</v>
      </c>
      <c r="F120">
        <v>10</v>
      </c>
      <c r="G120" s="3" t="str">
        <f t="shared" si="9"/>
        <v>Resistant</v>
      </c>
      <c r="H120">
        <v>20</v>
      </c>
      <c r="I120" t="str">
        <f t="shared" si="10"/>
        <v>Sensitive</v>
      </c>
      <c r="J120">
        <v>0</v>
      </c>
      <c r="K120" t="str">
        <f t="shared" si="11"/>
        <v>Resistant</v>
      </c>
      <c r="L120">
        <v>25</v>
      </c>
      <c r="M120" s="8" t="str">
        <f t="shared" si="12"/>
        <v>Intermediate</v>
      </c>
      <c r="N120">
        <f t="shared" si="13"/>
        <v>2</v>
      </c>
      <c r="O120" t="str">
        <f t="shared" si="7"/>
        <v>Susceptible</v>
      </c>
    </row>
    <row r="121" spans="1:15">
      <c r="A121" t="s">
        <v>199</v>
      </c>
      <c r="B121" t="s">
        <v>64</v>
      </c>
      <c r="C121" t="s">
        <v>59</v>
      </c>
      <c r="D121">
        <v>25</v>
      </c>
      <c r="E121" s="3" t="str">
        <f t="shared" si="8"/>
        <v>Sensitive</v>
      </c>
      <c r="F121">
        <v>25</v>
      </c>
      <c r="G121" s="3" t="str">
        <f t="shared" si="9"/>
        <v>Sensitive</v>
      </c>
      <c r="H121">
        <v>18</v>
      </c>
      <c r="I121" t="str">
        <f t="shared" si="10"/>
        <v>Sensitive</v>
      </c>
      <c r="J121">
        <v>15</v>
      </c>
      <c r="K121" t="str">
        <f t="shared" si="11"/>
        <v>Intermediate</v>
      </c>
      <c r="L121">
        <v>21</v>
      </c>
      <c r="M121" s="8" t="str">
        <f t="shared" si="12"/>
        <v>Resistant</v>
      </c>
      <c r="N121">
        <f t="shared" si="13"/>
        <v>1</v>
      </c>
      <c r="O121" t="str">
        <f t="shared" si="7"/>
        <v>Susceptible</v>
      </c>
    </row>
    <row r="122" spans="1:15">
      <c r="A122" t="s">
        <v>200</v>
      </c>
      <c r="B122" t="s">
        <v>64</v>
      </c>
      <c r="C122" t="s">
        <v>59</v>
      </c>
      <c r="D122">
        <v>25</v>
      </c>
      <c r="E122" s="3" t="str">
        <f t="shared" si="8"/>
        <v>Sensitive</v>
      </c>
      <c r="F122">
        <v>0</v>
      </c>
      <c r="G122" s="3" t="str">
        <f t="shared" si="9"/>
        <v>Resistant</v>
      </c>
      <c r="H122">
        <v>20</v>
      </c>
      <c r="I122" t="str">
        <f t="shared" si="10"/>
        <v>Sensitive</v>
      </c>
      <c r="J122">
        <v>7</v>
      </c>
      <c r="K122" t="str">
        <f t="shared" si="11"/>
        <v>Resistant</v>
      </c>
      <c r="L122">
        <v>20</v>
      </c>
      <c r="M122" s="8" t="str">
        <f t="shared" si="12"/>
        <v>Resistant</v>
      </c>
      <c r="N122">
        <f t="shared" si="13"/>
        <v>3</v>
      </c>
      <c r="O122" t="str">
        <f t="shared" si="7"/>
        <v>MDR</v>
      </c>
    </row>
    <row r="123" spans="1:15">
      <c r="A123" t="s">
        <v>201</v>
      </c>
      <c r="B123" t="s">
        <v>64</v>
      </c>
      <c r="C123" t="s">
        <v>59</v>
      </c>
      <c r="D123">
        <v>7</v>
      </c>
      <c r="E123" s="3" t="str">
        <f t="shared" si="8"/>
        <v>Resistant</v>
      </c>
      <c r="F123">
        <v>15</v>
      </c>
      <c r="G123" s="3" t="str">
        <f t="shared" si="9"/>
        <v>Resistant</v>
      </c>
      <c r="H123">
        <v>20</v>
      </c>
      <c r="I123" t="str">
        <f t="shared" si="10"/>
        <v>Sensitive</v>
      </c>
      <c r="J123">
        <v>7</v>
      </c>
      <c r="K123" t="str">
        <f t="shared" si="11"/>
        <v>Resistant</v>
      </c>
      <c r="L123">
        <v>20</v>
      </c>
      <c r="M123" s="8" t="str">
        <f t="shared" si="12"/>
        <v>Resistant</v>
      </c>
      <c r="N123">
        <f t="shared" si="13"/>
        <v>4</v>
      </c>
      <c r="O123" t="str">
        <f t="shared" si="7"/>
        <v>XDR</v>
      </c>
    </row>
    <row r="124" spans="1:15">
      <c r="A124" t="s">
        <v>202</v>
      </c>
      <c r="B124" t="s">
        <v>64</v>
      </c>
      <c r="C124" t="s">
        <v>59</v>
      </c>
      <c r="D124">
        <v>24</v>
      </c>
      <c r="E124" s="3" t="str">
        <f t="shared" si="8"/>
        <v>Sensitive</v>
      </c>
      <c r="F124">
        <v>10</v>
      </c>
      <c r="G124" s="3" t="str">
        <f t="shared" si="9"/>
        <v>Resistant</v>
      </c>
      <c r="H124">
        <v>18</v>
      </c>
      <c r="I124" t="str">
        <f t="shared" si="10"/>
        <v>Sensitive</v>
      </c>
      <c r="J124">
        <v>10</v>
      </c>
      <c r="K124" t="str">
        <f t="shared" si="11"/>
        <v>Resistant</v>
      </c>
      <c r="L124">
        <v>23</v>
      </c>
      <c r="M124" s="8" t="str">
        <f t="shared" si="12"/>
        <v>Intermediate</v>
      </c>
      <c r="N124">
        <f t="shared" si="13"/>
        <v>2</v>
      </c>
      <c r="O124" t="str">
        <f t="shared" si="7"/>
        <v>Susceptible</v>
      </c>
    </row>
    <row r="125" spans="1:15">
      <c r="A125" t="s">
        <v>203</v>
      </c>
      <c r="B125" t="s">
        <v>64</v>
      </c>
      <c r="C125" t="s">
        <v>59</v>
      </c>
      <c r="D125">
        <v>26</v>
      </c>
      <c r="E125" s="3" t="str">
        <f t="shared" si="8"/>
        <v>Sensitive</v>
      </c>
      <c r="F125">
        <v>20</v>
      </c>
      <c r="G125" s="3" t="str">
        <f t="shared" si="9"/>
        <v>Intermediate</v>
      </c>
      <c r="H125">
        <v>20</v>
      </c>
      <c r="I125" t="str">
        <f t="shared" si="10"/>
        <v>Sensitive</v>
      </c>
      <c r="J125">
        <v>17</v>
      </c>
      <c r="K125" t="str">
        <f t="shared" si="11"/>
        <v>Intermediate</v>
      </c>
      <c r="L125">
        <v>25</v>
      </c>
      <c r="M125" s="8" t="str">
        <f t="shared" si="12"/>
        <v>Intermediate</v>
      </c>
      <c r="N125">
        <f t="shared" si="13"/>
        <v>0</v>
      </c>
      <c r="O125" t="str">
        <f t="shared" si="7"/>
        <v>Susceptible</v>
      </c>
    </row>
    <row r="126" spans="1:15">
      <c r="A126" t="s">
        <v>204</v>
      </c>
      <c r="B126" t="s">
        <v>64</v>
      </c>
      <c r="C126" t="s">
        <v>59</v>
      </c>
      <c r="D126">
        <v>25</v>
      </c>
      <c r="E126" s="3" t="str">
        <f t="shared" si="8"/>
        <v>Sensitive</v>
      </c>
      <c r="F126">
        <v>25</v>
      </c>
      <c r="G126" s="3" t="str">
        <f t="shared" si="9"/>
        <v>Sensitive</v>
      </c>
      <c r="H126">
        <v>20</v>
      </c>
      <c r="I126" t="str">
        <f t="shared" si="10"/>
        <v>Sensitive</v>
      </c>
      <c r="J126">
        <v>20</v>
      </c>
      <c r="K126" t="str">
        <f t="shared" si="11"/>
        <v>Sensitive</v>
      </c>
      <c r="L126">
        <v>30</v>
      </c>
      <c r="M126" s="8" t="str">
        <f t="shared" si="12"/>
        <v>Sensitive</v>
      </c>
      <c r="N126">
        <f t="shared" si="13"/>
        <v>0</v>
      </c>
      <c r="O126" t="str">
        <f t="shared" si="7"/>
        <v>Susceptible</v>
      </c>
    </row>
    <row r="127" spans="1:15">
      <c r="A127" t="s">
        <v>205</v>
      </c>
      <c r="B127" t="s">
        <v>64</v>
      </c>
      <c r="C127" t="s">
        <v>59</v>
      </c>
      <c r="D127">
        <v>29</v>
      </c>
      <c r="E127" s="3" t="str">
        <f t="shared" si="8"/>
        <v>Sensitive</v>
      </c>
      <c r="F127">
        <v>24</v>
      </c>
      <c r="G127" s="3" t="str">
        <f t="shared" si="9"/>
        <v>Sensitive</v>
      </c>
      <c r="H127">
        <v>20</v>
      </c>
      <c r="I127" t="str">
        <f t="shared" si="10"/>
        <v>Sensitive</v>
      </c>
      <c r="J127">
        <v>10</v>
      </c>
      <c r="K127" t="str">
        <f t="shared" si="11"/>
        <v>Resistant</v>
      </c>
      <c r="L127">
        <v>0</v>
      </c>
      <c r="M127" s="8" t="str">
        <f t="shared" si="12"/>
        <v>Resistant</v>
      </c>
      <c r="N127">
        <f t="shared" si="13"/>
        <v>2</v>
      </c>
      <c r="O127" t="str">
        <f t="shared" si="7"/>
        <v>Susceptible</v>
      </c>
    </row>
    <row r="128" spans="1:15">
      <c r="A128" t="s">
        <v>206</v>
      </c>
      <c r="B128" t="s">
        <v>64</v>
      </c>
      <c r="C128" t="s">
        <v>59</v>
      </c>
      <c r="D128">
        <v>39</v>
      </c>
      <c r="E128" s="3" t="str">
        <f t="shared" si="8"/>
        <v>Sensitive</v>
      </c>
      <c r="F128">
        <v>0</v>
      </c>
      <c r="G128" s="3" t="str">
        <f t="shared" si="9"/>
        <v>Resistant</v>
      </c>
      <c r="H128">
        <v>24</v>
      </c>
      <c r="I128" t="str">
        <f t="shared" si="10"/>
        <v>Sensitive</v>
      </c>
      <c r="J128">
        <v>18</v>
      </c>
      <c r="K128" t="str">
        <f t="shared" si="11"/>
        <v>Sensitive</v>
      </c>
      <c r="L128">
        <v>25</v>
      </c>
      <c r="M128" s="8" t="str">
        <f t="shared" si="12"/>
        <v>Intermediate</v>
      </c>
      <c r="N128">
        <f t="shared" si="13"/>
        <v>1</v>
      </c>
      <c r="O128" t="str">
        <f t="shared" si="7"/>
        <v>Susceptible</v>
      </c>
    </row>
    <row r="129" spans="1:15">
      <c r="A129" t="s">
        <v>207</v>
      </c>
      <c r="B129" t="s">
        <v>64</v>
      </c>
      <c r="C129" t="s">
        <v>59</v>
      </c>
      <c r="D129">
        <v>37</v>
      </c>
      <c r="E129" s="3" t="str">
        <f t="shared" si="8"/>
        <v>Sensitive</v>
      </c>
      <c r="F129">
        <v>10</v>
      </c>
      <c r="G129" s="3" t="str">
        <f t="shared" si="9"/>
        <v>Resistant</v>
      </c>
      <c r="H129">
        <v>15</v>
      </c>
      <c r="I129" t="str">
        <f t="shared" si="10"/>
        <v>Sensitive</v>
      </c>
      <c r="J129">
        <v>17</v>
      </c>
      <c r="K129" t="str">
        <f t="shared" si="11"/>
        <v>Intermediate</v>
      </c>
      <c r="L129">
        <v>25</v>
      </c>
      <c r="M129" s="8" t="str">
        <f t="shared" si="12"/>
        <v>Intermediate</v>
      </c>
      <c r="N129">
        <f t="shared" si="13"/>
        <v>1</v>
      </c>
      <c r="O129" t="str">
        <f t="shared" si="7"/>
        <v>Susceptible</v>
      </c>
    </row>
    <row r="130" spans="1:15">
      <c r="A130" t="s">
        <v>208</v>
      </c>
      <c r="B130" t="s">
        <v>64</v>
      </c>
      <c r="C130" t="s">
        <v>59</v>
      </c>
      <c r="D130">
        <v>35</v>
      </c>
      <c r="E130" s="3" t="str">
        <f t="shared" si="8"/>
        <v>Sensitive</v>
      </c>
      <c r="F130">
        <v>0</v>
      </c>
      <c r="G130" s="3" t="str">
        <f t="shared" si="9"/>
        <v>Resistant</v>
      </c>
      <c r="H130">
        <v>25</v>
      </c>
      <c r="I130" t="str">
        <f t="shared" si="10"/>
        <v>Sensitive</v>
      </c>
      <c r="J130">
        <v>30</v>
      </c>
      <c r="K130" t="str">
        <f t="shared" si="11"/>
        <v>Sensitive</v>
      </c>
      <c r="L130">
        <v>30</v>
      </c>
      <c r="M130" s="8" t="str">
        <f t="shared" si="12"/>
        <v>Sensitive</v>
      </c>
      <c r="N130">
        <f t="shared" si="13"/>
        <v>1</v>
      </c>
      <c r="O130" t="str">
        <f t="shared" ref="O130:O193" si="14">_xlfn.IFS(N130&lt;=2, "Susceptible",N130=3,"MDR",N130=4, "XDR",N130=5, "XDR*")</f>
        <v>Susceptible</v>
      </c>
    </row>
    <row r="131" spans="1:15">
      <c r="A131" t="s">
        <v>209</v>
      </c>
      <c r="B131" t="s">
        <v>64</v>
      </c>
      <c r="C131" t="s">
        <v>59</v>
      </c>
      <c r="D131">
        <v>36</v>
      </c>
      <c r="E131" s="3" t="str">
        <f t="shared" ref="E131:E194" si="15">_xlfn.IFS(D131&lt;=19, "Resistant", D131&lt;=22, "Intermediate", D131&gt;=23, "Sensitive")</f>
        <v>Sensitive</v>
      </c>
      <c r="F131">
        <v>10</v>
      </c>
      <c r="G131" s="3" t="str">
        <f t="shared" ref="G131:G194" si="16">_xlfn.IFS(F131&lt;=17, "Resistant", F131&lt;=20, "Intermediate", F131&gt;=21, "Sensitive")</f>
        <v>Resistant</v>
      </c>
      <c r="H131">
        <v>16</v>
      </c>
      <c r="I131" t="str">
        <f t="shared" ref="I131:I194" si="17">_xlfn.IFS(H131&lt;=12, "Resistant", H131&lt;=14, "Intermediate", H131&gt;=15, "Sensitive")</f>
        <v>Sensitive</v>
      </c>
      <c r="J131">
        <v>20</v>
      </c>
      <c r="K131" t="str">
        <f t="shared" ref="K131:K194" si="18">_xlfn.IFS(J131&lt;=13, "Resistant", J131&lt;=17, "Intermediate", J131&gt;=18, "Sensitive")</f>
        <v>Sensitive</v>
      </c>
      <c r="L131">
        <v>20</v>
      </c>
      <c r="M131" s="8" t="str">
        <f t="shared" ref="M131:M194" si="19">_xlfn.IFS(L131&lt;=21, "Resistant", L131&lt;=25, "Intermediate", L131&gt;=26, "Sensitive")</f>
        <v>Resistant</v>
      </c>
      <c r="N131">
        <f t="shared" ref="N131:N194" si="20">COUNTIF(E131:M131,"Resistant")</f>
        <v>2</v>
      </c>
      <c r="O131" t="str">
        <f t="shared" si="14"/>
        <v>Susceptible</v>
      </c>
    </row>
    <row r="132" spans="1:15">
      <c r="A132" t="s">
        <v>210</v>
      </c>
      <c r="B132" t="s">
        <v>64</v>
      </c>
      <c r="C132" t="s">
        <v>59</v>
      </c>
      <c r="D132">
        <v>39</v>
      </c>
      <c r="E132" s="3" t="str">
        <f t="shared" si="15"/>
        <v>Sensitive</v>
      </c>
      <c r="F132">
        <v>5</v>
      </c>
      <c r="G132" s="3" t="str">
        <f t="shared" si="16"/>
        <v>Resistant</v>
      </c>
      <c r="H132">
        <v>25</v>
      </c>
      <c r="I132" t="str">
        <f t="shared" si="17"/>
        <v>Sensitive</v>
      </c>
      <c r="J132">
        <v>17</v>
      </c>
      <c r="K132" t="str">
        <f t="shared" si="18"/>
        <v>Intermediate</v>
      </c>
      <c r="L132">
        <v>25</v>
      </c>
      <c r="M132" s="8" t="str">
        <f t="shared" si="19"/>
        <v>Intermediate</v>
      </c>
      <c r="N132">
        <f t="shared" si="20"/>
        <v>1</v>
      </c>
      <c r="O132" t="str">
        <f t="shared" si="14"/>
        <v>Susceptible</v>
      </c>
    </row>
    <row r="133" spans="1:15">
      <c r="A133" t="s">
        <v>211</v>
      </c>
      <c r="B133" t="s">
        <v>64</v>
      </c>
      <c r="C133" t="s">
        <v>59</v>
      </c>
      <c r="D133">
        <v>32</v>
      </c>
      <c r="E133" s="3" t="str">
        <f t="shared" si="15"/>
        <v>Sensitive</v>
      </c>
      <c r="F133">
        <v>0</v>
      </c>
      <c r="G133" s="3" t="str">
        <f t="shared" si="16"/>
        <v>Resistant</v>
      </c>
      <c r="H133">
        <v>20</v>
      </c>
      <c r="I133" t="str">
        <f t="shared" si="17"/>
        <v>Sensitive</v>
      </c>
      <c r="J133">
        <v>15</v>
      </c>
      <c r="K133" t="str">
        <f t="shared" si="18"/>
        <v>Intermediate</v>
      </c>
      <c r="L133">
        <v>20</v>
      </c>
      <c r="M133" s="8" t="str">
        <f t="shared" si="19"/>
        <v>Resistant</v>
      </c>
      <c r="N133">
        <f t="shared" si="20"/>
        <v>2</v>
      </c>
      <c r="O133" t="str">
        <f t="shared" si="14"/>
        <v>Susceptible</v>
      </c>
    </row>
    <row r="134" spans="1:15">
      <c r="A134" t="s">
        <v>212</v>
      </c>
      <c r="B134" t="s">
        <v>64</v>
      </c>
      <c r="C134" t="s">
        <v>59</v>
      </c>
      <c r="D134">
        <v>25</v>
      </c>
      <c r="E134" s="3" t="str">
        <f t="shared" si="15"/>
        <v>Sensitive</v>
      </c>
      <c r="F134">
        <v>10</v>
      </c>
      <c r="G134" s="3" t="str">
        <f t="shared" si="16"/>
        <v>Resistant</v>
      </c>
      <c r="H134">
        <v>20</v>
      </c>
      <c r="I134" t="str">
        <f t="shared" si="17"/>
        <v>Sensitive</v>
      </c>
      <c r="J134">
        <v>17</v>
      </c>
      <c r="K134" t="str">
        <f t="shared" si="18"/>
        <v>Intermediate</v>
      </c>
      <c r="L134">
        <v>17</v>
      </c>
      <c r="M134" s="8" t="str">
        <f t="shared" si="19"/>
        <v>Resistant</v>
      </c>
      <c r="N134">
        <f t="shared" si="20"/>
        <v>2</v>
      </c>
      <c r="O134" t="str">
        <f t="shared" si="14"/>
        <v>Susceptible</v>
      </c>
    </row>
    <row r="135" spans="1:15">
      <c r="A135" t="s">
        <v>213</v>
      </c>
      <c r="B135" t="s">
        <v>64</v>
      </c>
      <c r="C135" t="s">
        <v>59</v>
      </c>
      <c r="D135">
        <v>30</v>
      </c>
      <c r="E135" s="3" t="str">
        <f t="shared" si="15"/>
        <v>Sensitive</v>
      </c>
      <c r="F135">
        <v>10</v>
      </c>
      <c r="G135" s="3" t="str">
        <f t="shared" si="16"/>
        <v>Resistant</v>
      </c>
      <c r="H135">
        <v>25</v>
      </c>
      <c r="I135" t="str">
        <f t="shared" si="17"/>
        <v>Sensitive</v>
      </c>
      <c r="J135">
        <v>15</v>
      </c>
      <c r="K135" t="str">
        <f t="shared" si="18"/>
        <v>Intermediate</v>
      </c>
      <c r="L135">
        <v>25</v>
      </c>
      <c r="M135" s="8" t="str">
        <f t="shared" si="19"/>
        <v>Intermediate</v>
      </c>
      <c r="N135">
        <f t="shared" si="20"/>
        <v>1</v>
      </c>
      <c r="O135" t="str">
        <f t="shared" si="14"/>
        <v>Susceptible</v>
      </c>
    </row>
    <row r="136" spans="1:15">
      <c r="A136" t="s">
        <v>214</v>
      </c>
      <c r="B136" t="s">
        <v>64</v>
      </c>
      <c r="C136" t="s">
        <v>59</v>
      </c>
      <c r="D136">
        <v>30</v>
      </c>
      <c r="E136" s="3" t="str">
        <f t="shared" si="15"/>
        <v>Sensitive</v>
      </c>
      <c r="F136">
        <v>10</v>
      </c>
      <c r="G136" s="3" t="str">
        <f t="shared" si="16"/>
        <v>Resistant</v>
      </c>
      <c r="H136">
        <v>25</v>
      </c>
      <c r="I136" t="str">
        <f t="shared" si="17"/>
        <v>Sensitive</v>
      </c>
      <c r="J136">
        <v>25</v>
      </c>
      <c r="K136" t="str">
        <f t="shared" si="18"/>
        <v>Sensitive</v>
      </c>
      <c r="L136">
        <v>20</v>
      </c>
      <c r="M136" s="8" t="str">
        <f t="shared" si="19"/>
        <v>Resistant</v>
      </c>
      <c r="N136">
        <f t="shared" si="20"/>
        <v>2</v>
      </c>
      <c r="O136" t="str">
        <f t="shared" si="14"/>
        <v>Susceptible</v>
      </c>
    </row>
    <row r="137" spans="1:15">
      <c r="A137" t="s">
        <v>215</v>
      </c>
      <c r="B137" t="s">
        <v>64</v>
      </c>
      <c r="C137" t="s">
        <v>59</v>
      </c>
      <c r="D137">
        <v>30</v>
      </c>
      <c r="E137" s="3" t="str">
        <f t="shared" si="15"/>
        <v>Sensitive</v>
      </c>
      <c r="F137">
        <v>0</v>
      </c>
      <c r="G137" s="3" t="str">
        <f t="shared" si="16"/>
        <v>Resistant</v>
      </c>
      <c r="H137">
        <v>25</v>
      </c>
      <c r="I137" t="str">
        <f t="shared" si="17"/>
        <v>Sensitive</v>
      </c>
      <c r="J137">
        <v>30</v>
      </c>
      <c r="K137" t="str">
        <f t="shared" si="18"/>
        <v>Sensitive</v>
      </c>
      <c r="L137">
        <v>30</v>
      </c>
      <c r="M137" s="8" t="str">
        <f t="shared" si="19"/>
        <v>Sensitive</v>
      </c>
      <c r="N137">
        <f t="shared" si="20"/>
        <v>1</v>
      </c>
      <c r="O137" t="str">
        <f t="shared" si="14"/>
        <v>Susceptible</v>
      </c>
    </row>
    <row r="138" spans="1:15">
      <c r="A138" t="s">
        <v>216</v>
      </c>
      <c r="B138" t="s">
        <v>64</v>
      </c>
      <c r="C138" t="s">
        <v>59</v>
      </c>
      <c r="D138">
        <v>25</v>
      </c>
      <c r="E138" s="3" t="str">
        <f t="shared" si="15"/>
        <v>Sensitive</v>
      </c>
      <c r="F138">
        <v>10</v>
      </c>
      <c r="G138" s="3" t="str">
        <f t="shared" si="16"/>
        <v>Resistant</v>
      </c>
      <c r="H138">
        <v>15</v>
      </c>
      <c r="I138" t="str">
        <f t="shared" si="17"/>
        <v>Sensitive</v>
      </c>
      <c r="J138">
        <v>15</v>
      </c>
      <c r="K138" t="str">
        <f t="shared" si="18"/>
        <v>Intermediate</v>
      </c>
      <c r="L138">
        <v>20</v>
      </c>
      <c r="M138" s="8" t="str">
        <f t="shared" si="19"/>
        <v>Resistant</v>
      </c>
      <c r="N138">
        <f t="shared" si="20"/>
        <v>2</v>
      </c>
      <c r="O138" t="str">
        <f t="shared" si="14"/>
        <v>Susceptible</v>
      </c>
    </row>
    <row r="139" spans="1:15">
      <c r="A139" t="s">
        <v>217</v>
      </c>
      <c r="B139" t="s">
        <v>64</v>
      </c>
      <c r="C139" t="s">
        <v>59</v>
      </c>
      <c r="D139">
        <v>30</v>
      </c>
      <c r="E139" s="3" t="str">
        <f t="shared" si="15"/>
        <v>Sensitive</v>
      </c>
      <c r="F139">
        <v>0</v>
      </c>
      <c r="G139" s="3" t="str">
        <f t="shared" si="16"/>
        <v>Resistant</v>
      </c>
      <c r="H139">
        <v>20</v>
      </c>
      <c r="I139" t="str">
        <f t="shared" si="17"/>
        <v>Sensitive</v>
      </c>
      <c r="J139">
        <v>12</v>
      </c>
      <c r="K139" t="str">
        <f t="shared" si="18"/>
        <v>Resistant</v>
      </c>
      <c r="L139">
        <v>20</v>
      </c>
      <c r="M139" s="8" t="str">
        <f t="shared" si="19"/>
        <v>Resistant</v>
      </c>
      <c r="N139">
        <f t="shared" si="20"/>
        <v>3</v>
      </c>
      <c r="O139" t="str">
        <f t="shared" si="14"/>
        <v>MDR</v>
      </c>
    </row>
    <row r="140" spans="1:15">
      <c r="A140" t="s">
        <v>218</v>
      </c>
      <c r="B140" t="s">
        <v>64</v>
      </c>
      <c r="C140" t="s">
        <v>59</v>
      </c>
      <c r="D140">
        <v>35</v>
      </c>
      <c r="E140" s="3" t="str">
        <f t="shared" si="15"/>
        <v>Sensitive</v>
      </c>
      <c r="F140">
        <v>7</v>
      </c>
      <c r="G140" s="3" t="str">
        <f t="shared" si="16"/>
        <v>Resistant</v>
      </c>
      <c r="H140">
        <v>20</v>
      </c>
      <c r="I140" t="str">
        <f t="shared" si="17"/>
        <v>Sensitive</v>
      </c>
      <c r="J140">
        <v>20</v>
      </c>
      <c r="K140" t="str">
        <f t="shared" si="18"/>
        <v>Sensitive</v>
      </c>
      <c r="L140">
        <v>23</v>
      </c>
      <c r="M140" s="8" t="str">
        <f t="shared" si="19"/>
        <v>Intermediate</v>
      </c>
      <c r="N140">
        <f t="shared" si="20"/>
        <v>1</v>
      </c>
      <c r="O140" t="str">
        <f t="shared" si="14"/>
        <v>Susceptible</v>
      </c>
    </row>
    <row r="141" spans="1:15">
      <c r="A141" t="s">
        <v>219</v>
      </c>
      <c r="B141" t="s">
        <v>64</v>
      </c>
      <c r="C141" t="s">
        <v>59</v>
      </c>
      <c r="D141">
        <v>25</v>
      </c>
      <c r="E141" s="3" t="str">
        <f t="shared" si="15"/>
        <v>Sensitive</v>
      </c>
      <c r="F141">
        <v>0</v>
      </c>
      <c r="G141" s="3" t="str">
        <f t="shared" si="16"/>
        <v>Resistant</v>
      </c>
      <c r="H141">
        <v>18</v>
      </c>
      <c r="I141" t="str">
        <f t="shared" si="17"/>
        <v>Sensitive</v>
      </c>
      <c r="J141">
        <v>10</v>
      </c>
      <c r="K141" t="str">
        <f t="shared" si="18"/>
        <v>Resistant</v>
      </c>
      <c r="L141">
        <v>20</v>
      </c>
      <c r="M141" s="8" t="str">
        <f t="shared" si="19"/>
        <v>Resistant</v>
      </c>
      <c r="N141">
        <f t="shared" si="20"/>
        <v>3</v>
      </c>
      <c r="O141" t="str">
        <f t="shared" si="14"/>
        <v>MDR</v>
      </c>
    </row>
    <row r="142" spans="1:15">
      <c r="A142" t="s">
        <v>220</v>
      </c>
      <c r="B142" t="s">
        <v>64</v>
      </c>
      <c r="C142" t="s">
        <v>59</v>
      </c>
      <c r="D142">
        <v>32</v>
      </c>
      <c r="E142" s="3" t="str">
        <f t="shared" si="15"/>
        <v>Sensitive</v>
      </c>
      <c r="F142">
        <v>10</v>
      </c>
      <c r="G142" s="3" t="str">
        <f t="shared" si="16"/>
        <v>Resistant</v>
      </c>
      <c r="H142">
        <v>21</v>
      </c>
      <c r="I142" t="str">
        <f t="shared" si="17"/>
        <v>Sensitive</v>
      </c>
      <c r="J142">
        <v>7</v>
      </c>
      <c r="K142" t="str">
        <f t="shared" si="18"/>
        <v>Resistant</v>
      </c>
      <c r="L142">
        <v>20</v>
      </c>
      <c r="M142" s="8" t="str">
        <f t="shared" si="19"/>
        <v>Resistant</v>
      </c>
      <c r="N142">
        <f t="shared" si="20"/>
        <v>3</v>
      </c>
      <c r="O142" t="str">
        <f t="shared" si="14"/>
        <v>MDR</v>
      </c>
    </row>
    <row r="143" spans="1:15">
      <c r="A143" t="s">
        <v>221</v>
      </c>
      <c r="B143" t="s">
        <v>64</v>
      </c>
      <c r="C143" t="s">
        <v>59</v>
      </c>
      <c r="D143">
        <v>30</v>
      </c>
      <c r="E143" s="3" t="str">
        <f t="shared" si="15"/>
        <v>Sensitive</v>
      </c>
      <c r="F143">
        <v>12</v>
      </c>
      <c r="G143" s="3" t="str">
        <f t="shared" si="16"/>
        <v>Resistant</v>
      </c>
      <c r="H143">
        <v>17</v>
      </c>
      <c r="I143" t="str">
        <f t="shared" si="17"/>
        <v>Sensitive</v>
      </c>
      <c r="J143">
        <v>25</v>
      </c>
      <c r="K143" t="str">
        <f t="shared" si="18"/>
        <v>Sensitive</v>
      </c>
      <c r="L143">
        <v>15</v>
      </c>
      <c r="M143" s="8" t="str">
        <f t="shared" si="19"/>
        <v>Resistant</v>
      </c>
      <c r="N143">
        <f t="shared" si="20"/>
        <v>2</v>
      </c>
      <c r="O143" t="str">
        <f t="shared" si="14"/>
        <v>Susceptible</v>
      </c>
    </row>
    <row r="144" spans="1:15">
      <c r="A144" t="s">
        <v>222</v>
      </c>
      <c r="B144" t="s">
        <v>63</v>
      </c>
      <c r="C144" t="s">
        <v>58</v>
      </c>
      <c r="D144">
        <v>19</v>
      </c>
      <c r="E144" s="3" t="str">
        <f t="shared" si="15"/>
        <v>Resistant</v>
      </c>
      <c r="F144">
        <v>23</v>
      </c>
      <c r="G144" s="3" t="str">
        <f t="shared" si="16"/>
        <v>Sensitive</v>
      </c>
      <c r="H144">
        <v>16</v>
      </c>
      <c r="I144" t="str">
        <f t="shared" si="17"/>
        <v>Sensitive</v>
      </c>
      <c r="J144">
        <v>8</v>
      </c>
      <c r="K144" t="str">
        <f t="shared" si="18"/>
        <v>Resistant</v>
      </c>
      <c r="L144">
        <v>11</v>
      </c>
      <c r="M144" s="8" t="str">
        <f t="shared" si="19"/>
        <v>Resistant</v>
      </c>
      <c r="N144">
        <f t="shared" si="20"/>
        <v>3</v>
      </c>
      <c r="O144" t="str">
        <f t="shared" si="14"/>
        <v>MDR</v>
      </c>
    </row>
    <row r="145" spans="1:15">
      <c r="A145" t="s">
        <v>223</v>
      </c>
      <c r="B145" t="s">
        <v>63</v>
      </c>
      <c r="C145" t="s">
        <v>58</v>
      </c>
      <c r="D145">
        <v>20</v>
      </c>
      <c r="E145" s="3" t="str">
        <f t="shared" si="15"/>
        <v>Intermediate</v>
      </c>
      <c r="F145">
        <v>8</v>
      </c>
      <c r="G145" s="3" t="str">
        <f t="shared" si="16"/>
        <v>Resistant</v>
      </c>
      <c r="H145">
        <v>14</v>
      </c>
      <c r="I145" t="str">
        <f t="shared" si="17"/>
        <v>Intermediate</v>
      </c>
      <c r="J145">
        <v>19</v>
      </c>
      <c r="K145" t="str">
        <f t="shared" si="18"/>
        <v>Sensitive</v>
      </c>
      <c r="L145">
        <v>22</v>
      </c>
      <c r="M145" s="8" t="str">
        <f t="shared" si="19"/>
        <v>Intermediate</v>
      </c>
      <c r="N145">
        <f t="shared" si="20"/>
        <v>1</v>
      </c>
      <c r="O145" t="str">
        <f t="shared" si="14"/>
        <v>Susceptible</v>
      </c>
    </row>
    <row r="146" spans="1:15">
      <c r="A146" t="s">
        <v>224</v>
      </c>
      <c r="B146" t="s">
        <v>63</v>
      </c>
      <c r="C146" t="s">
        <v>58</v>
      </c>
      <c r="D146">
        <v>20</v>
      </c>
      <c r="E146" s="3" t="str">
        <f t="shared" si="15"/>
        <v>Intermediate</v>
      </c>
      <c r="F146">
        <v>0</v>
      </c>
      <c r="G146" s="3" t="str">
        <f t="shared" si="16"/>
        <v>Resistant</v>
      </c>
      <c r="H146">
        <v>10</v>
      </c>
      <c r="I146" t="str">
        <f t="shared" si="17"/>
        <v>Resistant</v>
      </c>
      <c r="J146">
        <v>0</v>
      </c>
      <c r="K146" t="str">
        <f t="shared" si="18"/>
        <v>Resistant</v>
      </c>
      <c r="L146">
        <v>17</v>
      </c>
      <c r="M146" s="8" t="str">
        <f t="shared" si="19"/>
        <v>Resistant</v>
      </c>
      <c r="N146">
        <f t="shared" si="20"/>
        <v>4</v>
      </c>
      <c r="O146" t="str">
        <f t="shared" si="14"/>
        <v>XDR</v>
      </c>
    </row>
    <row r="147" spans="1:15">
      <c r="A147" t="s">
        <v>225</v>
      </c>
      <c r="B147" t="s">
        <v>63</v>
      </c>
      <c r="C147" t="s">
        <v>58</v>
      </c>
      <c r="D147">
        <v>18</v>
      </c>
      <c r="E147" s="3" t="str">
        <f t="shared" si="15"/>
        <v>Resistant</v>
      </c>
      <c r="F147">
        <v>15</v>
      </c>
      <c r="G147" s="3" t="str">
        <f t="shared" si="16"/>
        <v>Resistant</v>
      </c>
      <c r="H147">
        <v>15</v>
      </c>
      <c r="I147" t="str">
        <f t="shared" si="17"/>
        <v>Sensitive</v>
      </c>
      <c r="J147">
        <v>10</v>
      </c>
      <c r="K147" t="str">
        <f t="shared" si="18"/>
        <v>Resistant</v>
      </c>
      <c r="L147">
        <v>0</v>
      </c>
      <c r="M147" s="8" t="str">
        <f t="shared" si="19"/>
        <v>Resistant</v>
      </c>
      <c r="N147">
        <f t="shared" si="20"/>
        <v>4</v>
      </c>
      <c r="O147" t="str">
        <f t="shared" si="14"/>
        <v>XDR</v>
      </c>
    </row>
    <row r="148" spans="1:15">
      <c r="A148" t="s">
        <v>226</v>
      </c>
      <c r="B148" t="s">
        <v>63</v>
      </c>
      <c r="C148" t="s">
        <v>58</v>
      </c>
      <c r="D148">
        <v>22</v>
      </c>
      <c r="E148" s="3" t="str">
        <f t="shared" si="15"/>
        <v>Intermediate</v>
      </c>
      <c r="F148">
        <v>9</v>
      </c>
      <c r="G148" s="3" t="str">
        <f t="shared" si="16"/>
        <v>Resistant</v>
      </c>
      <c r="H148">
        <v>13</v>
      </c>
      <c r="I148" t="str">
        <f t="shared" si="17"/>
        <v>Intermediate</v>
      </c>
      <c r="J148">
        <v>17</v>
      </c>
      <c r="K148" t="str">
        <f t="shared" si="18"/>
        <v>Intermediate</v>
      </c>
      <c r="L148">
        <v>12</v>
      </c>
      <c r="M148" s="8" t="str">
        <f t="shared" si="19"/>
        <v>Resistant</v>
      </c>
      <c r="N148">
        <f t="shared" si="20"/>
        <v>2</v>
      </c>
      <c r="O148" t="str">
        <f t="shared" si="14"/>
        <v>Susceptible</v>
      </c>
    </row>
    <row r="149" spans="1:15">
      <c r="A149" t="s">
        <v>227</v>
      </c>
      <c r="B149" t="s">
        <v>63</v>
      </c>
      <c r="C149" t="s">
        <v>58</v>
      </c>
      <c r="D149">
        <v>22</v>
      </c>
      <c r="E149" s="3" t="str">
        <f t="shared" si="15"/>
        <v>Intermediate</v>
      </c>
      <c r="F149">
        <v>0</v>
      </c>
      <c r="G149" s="3" t="str">
        <f t="shared" si="16"/>
        <v>Resistant</v>
      </c>
      <c r="H149">
        <v>13</v>
      </c>
      <c r="I149" t="str">
        <f t="shared" si="17"/>
        <v>Intermediate</v>
      </c>
      <c r="J149">
        <v>14</v>
      </c>
      <c r="K149" t="str">
        <f t="shared" si="18"/>
        <v>Intermediate</v>
      </c>
      <c r="L149">
        <v>7</v>
      </c>
      <c r="M149" s="8" t="str">
        <f t="shared" si="19"/>
        <v>Resistant</v>
      </c>
      <c r="N149">
        <f t="shared" si="20"/>
        <v>2</v>
      </c>
      <c r="O149" t="str">
        <f t="shared" si="14"/>
        <v>Susceptible</v>
      </c>
    </row>
    <row r="150" spans="1:15">
      <c r="A150" t="s">
        <v>228</v>
      </c>
      <c r="B150" t="s">
        <v>63</v>
      </c>
      <c r="C150" t="s">
        <v>58</v>
      </c>
      <c r="D150">
        <v>17</v>
      </c>
      <c r="E150" s="3" t="str">
        <f t="shared" si="15"/>
        <v>Resistant</v>
      </c>
      <c r="F150">
        <v>0</v>
      </c>
      <c r="G150" s="3" t="str">
        <f t="shared" si="16"/>
        <v>Resistant</v>
      </c>
      <c r="H150">
        <v>8</v>
      </c>
      <c r="I150" t="str">
        <f t="shared" si="17"/>
        <v>Resistant</v>
      </c>
      <c r="J150">
        <v>12</v>
      </c>
      <c r="K150" t="str">
        <f t="shared" si="18"/>
        <v>Resistant</v>
      </c>
      <c r="L150">
        <v>0</v>
      </c>
      <c r="M150" s="8" t="str">
        <f t="shared" si="19"/>
        <v>Resistant</v>
      </c>
      <c r="N150">
        <f t="shared" si="20"/>
        <v>5</v>
      </c>
      <c r="O150" t="str">
        <f t="shared" si="14"/>
        <v>XDR*</v>
      </c>
    </row>
    <row r="151" spans="1:15">
      <c r="A151" t="s">
        <v>229</v>
      </c>
      <c r="B151" t="s">
        <v>63</v>
      </c>
      <c r="C151" t="s">
        <v>58</v>
      </c>
      <c r="D151">
        <v>16</v>
      </c>
      <c r="E151" s="3" t="str">
        <f t="shared" si="15"/>
        <v>Resistant</v>
      </c>
      <c r="F151">
        <v>0</v>
      </c>
      <c r="G151" s="3" t="str">
        <f t="shared" si="16"/>
        <v>Resistant</v>
      </c>
      <c r="H151">
        <v>7</v>
      </c>
      <c r="I151" t="str">
        <f t="shared" si="17"/>
        <v>Resistant</v>
      </c>
      <c r="J151">
        <v>9</v>
      </c>
      <c r="K151" t="str">
        <f t="shared" si="18"/>
        <v>Resistant</v>
      </c>
      <c r="L151">
        <v>0</v>
      </c>
      <c r="M151" s="8" t="str">
        <f t="shared" si="19"/>
        <v>Resistant</v>
      </c>
      <c r="N151">
        <f t="shared" si="20"/>
        <v>5</v>
      </c>
      <c r="O151" t="str">
        <f t="shared" si="14"/>
        <v>XDR*</v>
      </c>
    </row>
    <row r="152" spans="1:15">
      <c r="A152" t="s">
        <v>230</v>
      </c>
      <c r="B152" t="s">
        <v>63</v>
      </c>
      <c r="C152" t="s">
        <v>58</v>
      </c>
      <c r="D152">
        <v>18</v>
      </c>
      <c r="E152" s="3" t="str">
        <f t="shared" si="15"/>
        <v>Resistant</v>
      </c>
      <c r="F152">
        <v>13</v>
      </c>
      <c r="G152" s="3" t="str">
        <f t="shared" si="16"/>
        <v>Resistant</v>
      </c>
      <c r="H152">
        <v>7</v>
      </c>
      <c r="I152" t="str">
        <f t="shared" si="17"/>
        <v>Resistant</v>
      </c>
      <c r="J152">
        <v>11</v>
      </c>
      <c r="K152" t="str">
        <f t="shared" si="18"/>
        <v>Resistant</v>
      </c>
      <c r="L152">
        <v>12</v>
      </c>
      <c r="M152" s="8" t="str">
        <f t="shared" si="19"/>
        <v>Resistant</v>
      </c>
      <c r="N152">
        <f t="shared" si="20"/>
        <v>5</v>
      </c>
      <c r="O152" t="str">
        <f t="shared" si="14"/>
        <v>XDR*</v>
      </c>
    </row>
    <row r="153" spans="1:15">
      <c r="A153" t="s">
        <v>231</v>
      </c>
      <c r="B153" t="s">
        <v>63</v>
      </c>
      <c r="C153" t="s">
        <v>58</v>
      </c>
      <c r="D153">
        <v>23</v>
      </c>
      <c r="E153" s="3" t="str">
        <f t="shared" si="15"/>
        <v>Sensitive</v>
      </c>
      <c r="F153">
        <v>19</v>
      </c>
      <c r="G153" s="3" t="str">
        <f t="shared" si="16"/>
        <v>Intermediate</v>
      </c>
      <c r="H153">
        <v>18</v>
      </c>
      <c r="I153" t="str">
        <f t="shared" si="17"/>
        <v>Sensitive</v>
      </c>
      <c r="J153">
        <v>18</v>
      </c>
      <c r="K153" t="str">
        <f t="shared" si="18"/>
        <v>Sensitive</v>
      </c>
      <c r="L153">
        <v>22</v>
      </c>
      <c r="M153" s="8" t="str">
        <f t="shared" si="19"/>
        <v>Intermediate</v>
      </c>
      <c r="N153">
        <f t="shared" si="20"/>
        <v>0</v>
      </c>
      <c r="O153" t="str">
        <f t="shared" si="14"/>
        <v>Susceptible</v>
      </c>
    </row>
    <row r="154" spans="1:15">
      <c r="A154" t="s">
        <v>232</v>
      </c>
      <c r="B154" t="s">
        <v>63</v>
      </c>
      <c r="C154" t="s">
        <v>58</v>
      </c>
      <c r="D154">
        <v>23</v>
      </c>
      <c r="E154" s="3" t="str">
        <f t="shared" si="15"/>
        <v>Sensitive</v>
      </c>
      <c r="F154">
        <v>13</v>
      </c>
      <c r="G154" s="3" t="str">
        <f t="shared" si="16"/>
        <v>Resistant</v>
      </c>
      <c r="H154">
        <v>17</v>
      </c>
      <c r="I154" t="str">
        <f t="shared" si="17"/>
        <v>Sensitive</v>
      </c>
      <c r="J154">
        <v>0</v>
      </c>
      <c r="K154" t="str">
        <f t="shared" si="18"/>
        <v>Resistant</v>
      </c>
      <c r="L154">
        <v>24</v>
      </c>
      <c r="M154" s="8" t="str">
        <f t="shared" si="19"/>
        <v>Intermediate</v>
      </c>
      <c r="N154">
        <f t="shared" si="20"/>
        <v>2</v>
      </c>
      <c r="O154" t="str">
        <f t="shared" si="14"/>
        <v>Susceptible</v>
      </c>
    </row>
    <row r="155" spans="1:15">
      <c r="A155" t="s">
        <v>233</v>
      </c>
      <c r="B155" t="s">
        <v>63</v>
      </c>
      <c r="C155" t="s">
        <v>58</v>
      </c>
      <c r="D155">
        <v>19</v>
      </c>
      <c r="E155" s="3" t="str">
        <f t="shared" si="15"/>
        <v>Resistant</v>
      </c>
      <c r="F155">
        <v>0</v>
      </c>
      <c r="G155" s="3" t="str">
        <f t="shared" si="16"/>
        <v>Resistant</v>
      </c>
      <c r="H155">
        <v>12</v>
      </c>
      <c r="I155" t="str">
        <f t="shared" si="17"/>
        <v>Resistant</v>
      </c>
      <c r="J155">
        <v>0</v>
      </c>
      <c r="K155" t="str">
        <f t="shared" si="18"/>
        <v>Resistant</v>
      </c>
      <c r="L155">
        <v>20</v>
      </c>
      <c r="M155" s="8" t="str">
        <f t="shared" si="19"/>
        <v>Resistant</v>
      </c>
      <c r="N155">
        <f t="shared" si="20"/>
        <v>5</v>
      </c>
      <c r="O155" t="str">
        <f t="shared" si="14"/>
        <v>XDR*</v>
      </c>
    </row>
    <row r="156" spans="1:15">
      <c r="A156" t="s">
        <v>234</v>
      </c>
      <c r="B156" t="s">
        <v>63</v>
      </c>
      <c r="C156" t="s">
        <v>58</v>
      </c>
      <c r="D156">
        <v>17</v>
      </c>
      <c r="E156" s="3" t="str">
        <f t="shared" si="15"/>
        <v>Resistant</v>
      </c>
      <c r="F156">
        <v>8</v>
      </c>
      <c r="G156" s="3" t="str">
        <f t="shared" si="16"/>
        <v>Resistant</v>
      </c>
      <c r="H156">
        <v>9</v>
      </c>
      <c r="I156" t="str">
        <f t="shared" si="17"/>
        <v>Resistant</v>
      </c>
      <c r="J156">
        <v>0</v>
      </c>
      <c r="K156" t="str">
        <f t="shared" si="18"/>
        <v>Resistant</v>
      </c>
      <c r="L156">
        <v>0</v>
      </c>
      <c r="M156" s="8" t="str">
        <f t="shared" si="19"/>
        <v>Resistant</v>
      </c>
      <c r="N156">
        <f t="shared" si="20"/>
        <v>5</v>
      </c>
      <c r="O156" t="str">
        <f t="shared" si="14"/>
        <v>XDR*</v>
      </c>
    </row>
    <row r="157" spans="1:15">
      <c r="A157" t="s">
        <v>235</v>
      </c>
      <c r="B157" t="s">
        <v>63</v>
      </c>
      <c r="C157" t="s">
        <v>58</v>
      </c>
      <c r="D157">
        <v>0</v>
      </c>
      <c r="E157" s="3" t="str">
        <f t="shared" si="15"/>
        <v>Resistant</v>
      </c>
      <c r="F157">
        <v>0</v>
      </c>
      <c r="G157" s="3" t="str">
        <f t="shared" si="16"/>
        <v>Resistant</v>
      </c>
      <c r="H157">
        <v>13</v>
      </c>
      <c r="I157" t="str">
        <f t="shared" si="17"/>
        <v>Intermediate</v>
      </c>
      <c r="J157">
        <v>8</v>
      </c>
      <c r="K157" t="str">
        <f t="shared" si="18"/>
        <v>Resistant</v>
      </c>
      <c r="L157">
        <v>0</v>
      </c>
      <c r="M157" s="8" t="str">
        <f t="shared" si="19"/>
        <v>Resistant</v>
      </c>
      <c r="N157">
        <f t="shared" si="20"/>
        <v>4</v>
      </c>
      <c r="O157" t="str">
        <f t="shared" si="14"/>
        <v>XDR</v>
      </c>
    </row>
    <row r="158" spans="1:15">
      <c r="A158" t="s">
        <v>236</v>
      </c>
      <c r="B158" t="s">
        <v>63</v>
      </c>
      <c r="C158" t="s">
        <v>58</v>
      </c>
      <c r="D158">
        <v>24</v>
      </c>
      <c r="E158" s="3" t="str">
        <f t="shared" si="15"/>
        <v>Sensitive</v>
      </c>
      <c r="F158">
        <v>11</v>
      </c>
      <c r="G158" s="3" t="str">
        <f t="shared" si="16"/>
        <v>Resistant</v>
      </c>
      <c r="H158">
        <v>18</v>
      </c>
      <c r="I158" t="str">
        <f t="shared" si="17"/>
        <v>Sensitive</v>
      </c>
      <c r="J158">
        <v>15</v>
      </c>
      <c r="K158" t="str">
        <f t="shared" si="18"/>
        <v>Intermediate</v>
      </c>
      <c r="L158">
        <v>21</v>
      </c>
      <c r="M158" s="8" t="str">
        <f t="shared" si="19"/>
        <v>Resistant</v>
      </c>
      <c r="N158">
        <f t="shared" si="20"/>
        <v>2</v>
      </c>
      <c r="O158" t="str">
        <f t="shared" si="14"/>
        <v>Susceptible</v>
      </c>
    </row>
    <row r="159" spans="1:15">
      <c r="A159" t="s">
        <v>237</v>
      </c>
      <c r="B159" t="s">
        <v>63</v>
      </c>
      <c r="C159" t="s">
        <v>58</v>
      </c>
      <c r="D159">
        <v>23</v>
      </c>
      <c r="E159" s="3" t="str">
        <f t="shared" si="15"/>
        <v>Sensitive</v>
      </c>
      <c r="F159">
        <v>12</v>
      </c>
      <c r="G159" s="3" t="str">
        <f t="shared" si="16"/>
        <v>Resistant</v>
      </c>
      <c r="H159">
        <v>17</v>
      </c>
      <c r="I159" t="str">
        <f t="shared" si="17"/>
        <v>Sensitive</v>
      </c>
      <c r="J159">
        <v>10</v>
      </c>
      <c r="K159" t="str">
        <f t="shared" si="18"/>
        <v>Resistant</v>
      </c>
      <c r="L159">
        <v>25</v>
      </c>
      <c r="M159" s="8" t="str">
        <f t="shared" si="19"/>
        <v>Intermediate</v>
      </c>
      <c r="N159">
        <f t="shared" si="20"/>
        <v>2</v>
      </c>
      <c r="O159" t="str">
        <f t="shared" si="14"/>
        <v>Susceptible</v>
      </c>
    </row>
    <row r="160" spans="1:15">
      <c r="A160" t="s">
        <v>238</v>
      </c>
      <c r="B160" t="s">
        <v>63</v>
      </c>
      <c r="C160" t="s">
        <v>58</v>
      </c>
      <c r="D160">
        <v>20</v>
      </c>
      <c r="E160" s="3" t="str">
        <f t="shared" si="15"/>
        <v>Intermediate</v>
      </c>
      <c r="F160">
        <v>14</v>
      </c>
      <c r="G160" s="3" t="str">
        <f t="shared" si="16"/>
        <v>Resistant</v>
      </c>
      <c r="H160">
        <v>16</v>
      </c>
      <c r="I160" t="str">
        <f t="shared" si="17"/>
        <v>Sensitive</v>
      </c>
      <c r="J160">
        <v>20</v>
      </c>
      <c r="K160" t="str">
        <f t="shared" si="18"/>
        <v>Sensitive</v>
      </c>
      <c r="L160">
        <v>22</v>
      </c>
      <c r="M160" s="8" t="str">
        <f t="shared" si="19"/>
        <v>Intermediate</v>
      </c>
      <c r="N160">
        <f t="shared" si="20"/>
        <v>1</v>
      </c>
      <c r="O160" t="str">
        <f t="shared" si="14"/>
        <v>Susceptible</v>
      </c>
    </row>
    <row r="161" spans="1:15">
      <c r="A161" t="s">
        <v>239</v>
      </c>
      <c r="B161" t="s">
        <v>63</v>
      </c>
      <c r="C161" t="s">
        <v>58</v>
      </c>
      <c r="D161">
        <v>24</v>
      </c>
      <c r="E161" s="3" t="str">
        <f t="shared" si="15"/>
        <v>Sensitive</v>
      </c>
      <c r="F161">
        <v>15</v>
      </c>
      <c r="G161" s="3" t="str">
        <f t="shared" si="16"/>
        <v>Resistant</v>
      </c>
      <c r="H161">
        <v>16</v>
      </c>
      <c r="I161" t="str">
        <f t="shared" si="17"/>
        <v>Sensitive</v>
      </c>
      <c r="J161">
        <v>12</v>
      </c>
      <c r="K161" t="str">
        <f t="shared" si="18"/>
        <v>Resistant</v>
      </c>
      <c r="L161">
        <v>24</v>
      </c>
      <c r="M161" s="8" t="str">
        <f t="shared" si="19"/>
        <v>Intermediate</v>
      </c>
      <c r="N161">
        <f t="shared" si="20"/>
        <v>2</v>
      </c>
      <c r="O161" t="str">
        <f t="shared" si="14"/>
        <v>Susceptible</v>
      </c>
    </row>
    <row r="162" spans="1:15">
      <c r="A162" t="s">
        <v>240</v>
      </c>
      <c r="B162" t="s">
        <v>63</v>
      </c>
      <c r="C162" t="s">
        <v>58</v>
      </c>
      <c r="D162">
        <v>27</v>
      </c>
      <c r="E162" s="3" t="str">
        <f t="shared" si="15"/>
        <v>Sensitive</v>
      </c>
      <c r="F162">
        <v>25</v>
      </c>
      <c r="G162" s="3" t="str">
        <f t="shared" si="16"/>
        <v>Sensitive</v>
      </c>
      <c r="H162">
        <v>12</v>
      </c>
      <c r="I162" t="str">
        <f t="shared" si="17"/>
        <v>Resistant</v>
      </c>
      <c r="J162">
        <v>17</v>
      </c>
      <c r="K162" t="str">
        <f t="shared" si="18"/>
        <v>Intermediate</v>
      </c>
      <c r="L162">
        <v>25</v>
      </c>
      <c r="M162" s="8" t="str">
        <f t="shared" si="19"/>
        <v>Intermediate</v>
      </c>
      <c r="N162">
        <f t="shared" si="20"/>
        <v>1</v>
      </c>
      <c r="O162" t="str">
        <f t="shared" si="14"/>
        <v>Susceptible</v>
      </c>
    </row>
    <row r="163" spans="1:15">
      <c r="A163" t="s">
        <v>241</v>
      </c>
      <c r="B163" t="s">
        <v>63</v>
      </c>
      <c r="C163" t="s">
        <v>58</v>
      </c>
      <c r="D163">
        <v>18</v>
      </c>
      <c r="E163" s="3" t="str">
        <f t="shared" si="15"/>
        <v>Resistant</v>
      </c>
      <c r="F163">
        <v>0</v>
      </c>
      <c r="G163" s="3" t="str">
        <f t="shared" si="16"/>
        <v>Resistant</v>
      </c>
      <c r="H163">
        <v>10</v>
      </c>
      <c r="I163" t="str">
        <f t="shared" si="17"/>
        <v>Resistant</v>
      </c>
      <c r="J163">
        <v>11</v>
      </c>
      <c r="K163" t="str">
        <f t="shared" si="18"/>
        <v>Resistant</v>
      </c>
      <c r="L163">
        <v>8</v>
      </c>
      <c r="M163" s="8" t="str">
        <f t="shared" si="19"/>
        <v>Resistant</v>
      </c>
      <c r="N163">
        <f t="shared" si="20"/>
        <v>5</v>
      </c>
      <c r="O163" t="str">
        <f t="shared" si="14"/>
        <v>XDR*</v>
      </c>
    </row>
    <row r="164" spans="1:15">
      <c r="A164" t="s">
        <v>242</v>
      </c>
      <c r="B164" t="s">
        <v>63</v>
      </c>
      <c r="C164" t="s">
        <v>58</v>
      </c>
      <c r="D164">
        <v>21</v>
      </c>
      <c r="E164" s="3" t="str">
        <f t="shared" si="15"/>
        <v>Intermediate</v>
      </c>
      <c r="F164">
        <v>20</v>
      </c>
      <c r="G164" s="3" t="str">
        <f t="shared" si="16"/>
        <v>Intermediate</v>
      </c>
      <c r="H164">
        <v>15</v>
      </c>
      <c r="I164" t="str">
        <f t="shared" si="17"/>
        <v>Sensitive</v>
      </c>
      <c r="J164">
        <v>0</v>
      </c>
      <c r="K164" t="str">
        <f t="shared" si="18"/>
        <v>Resistant</v>
      </c>
      <c r="L164">
        <v>26</v>
      </c>
      <c r="M164" s="8" t="str">
        <f t="shared" si="19"/>
        <v>Sensitive</v>
      </c>
      <c r="N164">
        <f t="shared" si="20"/>
        <v>1</v>
      </c>
      <c r="O164" t="str">
        <f t="shared" si="14"/>
        <v>Susceptible</v>
      </c>
    </row>
    <row r="165" spans="1:15">
      <c r="A165" t="s">
        <v>243</v>
      </c>
      <c r="B165" t="s">
        <v>63</v>
      </c>
      <c r="C165" t="s">
        <v>58</v>
      </c>
      <c r="D165">
        <v>21</v>
      </c>
      <c r="E165" s="3" t="str">
        <f t="shared" si="15"/>
        <v>Intermediate</v>
      </c>
      <c r="F165">
        <v>0</v>
      </c>
      <c r="G165" s="3" t="str">
        <f t="shared" si="16"/>
        <v>Resistant</v>
      </c>
      <c r="H165">
        <v>13</v>
      </c>
      <c r="I165" t="str">
        <f t="shared" si="17"/>
        <v>Intermediate</v>
      </c>
      <c r="J165">
        <v>0</v>
      </c>
      <c r="K165" t="str">
        <f t="shared" si="18"/>
        <v>Resistant</v>
      </c>
      <c r="L165">
        <v>12</v>
      </c>
      <c r="M165" s="8" t="str">
        <f t="shared" si="19"/>
        <v>Resistant</v>
      </c>
      <c r="N165">
        <f t="shared" si="20"/>
        <v>3</v>
      </c>
      <c r="O165" t="str">
        <f t="shared" si="14"/>
        <v>MDR</v>
      </c>
    </row>
    <row r="166" spans="1:15">
      <c r="A166" t="s">
        <v>244</v>
      </c>
      <c r="B166" t="s">
        <v>63</v>
      </c>
      <c r="C166" t="s">
        <v>58</v>
      </c>
      <c r="D166">
        <v>20</v>
      </c>
      <c r="E166" s="3" t="str">
        <f t="shared" si="15"/>
        <v>Intermediate</v>
      </c>
      <c r="F166">
        <v>24</v>
      </c>
      <c r="G166" s="3" t="str">
        <f t="shared" si="16"/>
        <v>Sensitive</v>
      </c>
      <c r="H166">
        <v>16</v>
      </c>
      <c r="I166" t="str">
        <f t="shared" si="17"/>
        <v>Sensitive</v>
      </c>
      <c r="J166">
        <v>0</v>
      </c>
      <c r="K166" t="str">
        <f t="shared" si="18"/>
        <v>Resistant</v>
      </c>
      <c r="L166">
        <v>23</v>
      </c>
      <c r="M166" s="8" t="str">
        <f t="shared" si="19"/>
        <v>Intermediate</v>
      </c>
      <c r="N166">
        <f t="shared" si="20"/>
        <v>1</v>
      </c>
      <c r="O166" t="str">
        <f t="shared" si="14"/>
        <v>Susceptible</v>
      </c>
    </row>
    <row r="167" spans="1:15">
      <c r="A167" t="s">
        <v>245</v>
      </c>
      <c r="B167" t="s">
        <v>63</v>
      </c>
      <c r="C167" t="s">
        <v>58</v>
      </c>
      <c r="D167">
        <v>21</v>
      </c>
      <c r="E167" s="3" t="str">
        <f t="shared" si="15"/>
        <v>Intermediate</v>
      </c>
      <c r="F167">
        <v>0</v>
      </c>
      <c r="G167" s="3" t="str">
        <f t="shared" si="16"/>
        <v>Resistant</v>
      </c>
      <c r="H167">
        <v>19</v>
      </c>
      <c r="I167" t="str">
        <f t="shared" si="17"/>
        <v>Sensitive</v>
      </c>
      <c r="J167">
        <v>10</v>
      </c>
      <c r="K167" t="str">
        <f t="shared" si="18"/>
        <v>Resistant</v>
      </c>
      <c r="L167">
        <v>12</v>
      </c>
      <c r="M167" s="8" t="str">
        <f t="shared" si="19"/>
        <v>Resistant</v>
      </c>
      <c r="N167">
        <f t="shared" si="20"/>
        <v>3</v>
      </c>
      <c r="O167" t="str">
        <f t="shared" si="14"/>
        <v>MDR</v>
      </c>
    </row>
    <row r="168" spans="1:15">
      <c r="A168" t="s">
        <v>246</v>
      </c>
      <c r="B168" t="s">
        <v>63</v>
      </c>
      <c r="C168" t="s">
        <v>58</v>
      </c>
      <c r="D168">
        <v>20</v>
      </c>
      <c r="E168" s="3" t="str">
        <f t="shared" si="15"/>
        <v>Intermediate</v>
      </c>
      <c r="F168">
        <v>18</v>
      </c>
      <c r="G168" s="3" t="str">
        <f t="shared" si="16"/>
        <v>Intermediate</v>
      </c>
      <c r="H168">
        <v>14</v>
      </c>
      <c r="I168" t="str">
        <f t="shared" si="17"/>
        <v>Intermediate</v>
      </c>
      <c r="J168">
        <v>0</v>
      </c>
      <c r="K168" t="str">
        <f t="shared" si="18"/>
        <v>Resistant</v>
      </c>
      <c r="L168">
        <v>20</v>
      </c>
      <c r="M168" s="8" t="str">
        <f t="shared" si="19"/>
        <v>Resistant</v>
      </c>
      <c r="N168">
        <f t="shared" si="20"/>
        <v>2</v>
      </c>
      <c r="O168" t="str">
        <f t="shared" si="14"/>
        <v>Susceptible</v>
      </c>
    </row>
    <row r="169" spans="1:15">
      <c r="A169" t="s">
        <v>247</v>
      </c>
      <c r="B169" t="s">
        <v>63</v>
      </c>
      <c r="C169" t="s">
        <v>58</v>
      </c>
      <c r="D169">
        <v>22</v>
      </c>
      <c r="E169" s="3" t="str">
        <f t="shared" si="15"/>
        <v>Intermediate</v>
      </c>
      <c r="F169">
        <v>24</v>
      </c>
      <c r="G169" s="3" t="str">
        <f t="shared" si="16"/>
        <v>Sensitive</v>
      </c>
      <c r="H169">
        <v>16</v>
      </c>
      <c r="I169" t="str">
        <f t="shared" si="17"/>
        <v>Sensitive</v>
      </c>
      <c r="J169">
        <v>17</v>
      </c>
      <c r="K169" t="str">
        <f t="shared" si="18"/>
        <v>Intermediate</v>
      </c>
      <c r="L169">
        <v>22</v>
      </c>
      <c r="M169" s="8" t="str">
        <f t="shared" si="19"/>
        <v>Intermediate</v>
      </c>
      <c r="N169">
        <f t="shared" si="20"/>
        <v>0</v>
      </c>
      <c r="O169" t="str">
        <f t="shared" si="14"/>
        <v>Susceptible</v>
      </c>
    </row>
    <row r="170" spans="1:15">
      <c r="A170" t="s">
        <v>248</v>
      </c>
      <c r="B170" t="s">
        <v>63</v>
      </c>
      <c r="C170" t="s">
        <v>58</v>
      </c>
      <c r="D170">
        <v>28</v>
      </c>
      <c r="E170" s="3" t="str">
        <f t="shared" si="15"/>
        <v>Sensitive</v>
      </c>
      <c r="F170">
        <v>18</v>
      </c>
      <c r="G170" s="3" t="str">
        <f t="shared" si="16"/>
        <v>Intermediate</v>
      </c>
      <c r="H170">
        <v>21</v>
      </c>
      <c r="I170" t="str">
        <f t="shared" si="17"/>
        <v>Sensitive</v>
      </c>
      <c r="J170">
        <v>9</v>
      </c>
      <c r="K170" t="str">
        <f t="shared" si="18"/>
        <v>Resistant</v>
      </c>
      <c r="L170">
        <v>26</v>
      </c>
      <c r="M170" s="8" t="str">
        <f t="shared" si="19"/>
        <v>Sensitive</v>
      </c>
      <c r="N170">
        <f t="shared" si="20"/>
        <v>1</v>
      </c>
      <c r="O170" t="str">
        <f t="shared" si="14"/>
        <v>Susceptible</v>
      </c>
    </row>
    <row r="171" spans="1:15">
      <c r="A171" t="s">
        <v>249</v>
      </c>
      <c r="B171" t="s">
        <v>63</v>
      </c>
      <c r="C171" s="14" t="s">
        <v>60</v>
      </c>
      <c r="D171">
        <v>20</v>
      </c>
      <c r="E171" s="3" t="str">
        <f t="shared" si="15"/>
        <v>Intermediate</v>
      </c>
      <c r="F171">
        <v>0</v>
      </c>
      <c r="G171" s="3" t="str">
        <f t="shared" si="16"/>
        <v>Resistant</v>
      </c>
      <c r="H171">
        <v>12</v>
      </c>
      <c r="I171" t="str">
        <f t="shared" si="17"/>
        <v>Resistant</v>
      </c>
      <c r="J171">
        <v>14</v>
      </c>
      <c r="K171" t="str">
        <f t="shared" si="18"/>
        <v>Intermediate</v>
      </c>
      <c r="L171">
        <v>11</v>
      </c>
      <c r="M171" s="8" t="str">
        <f t="shared" si="19"/>
        <v>Resistant</v>
      </c>
      <c r="N171">
        <f t="shared" si="20"/>
        <v>3</v>
      </c>
      <c r="O171" t="str">
        <f t="shared" si="14"/>
        <v>MDR</v>
      </c>
    </row>
    <row r="172" spans="1:15">
      <c r="A172" t="s">
        <v>250</v>
      </c>
      <c r="B172" t="s">
        <v>63</v>
      </c>
      <c r="C172" s="14" t="s">
        <v>60</v>
      </c>
      <c r="D172">
        <v>20</v>
      </c>
      <c r="E172" s="3" t="str">
        <f t="shared" si="15"/>
        <v>Intermediate</v>
      </c>
      <c r="F172">
        <v>12</v>
      </c>
      <c r="G172" s="3" t="str">
        <f t="shared" si="16"/>
        <v>Resistant</v>
      </c>
      <c r="H172">
        <v>21</v>
      </c>
      <c r="I172" t="str">
        <f t="shared" si="17"/>
        <v>Sensitive</v>
      </c>
      <c r="J172">
        <v>15</v>
      </c>
      <c r="K172" t="str">
        <f t="shared" si="18"/>
        <v>Intermediate</v>
      </c>
      <c r="L172">
        <v>22</v>
      </c>
      <c r="M172" s="8" t="str">
        <f t="shared" si="19"/>
        <v>Intermediate</v>
      </c>
      <c r="N172">
        <f t="shared" si="20"/>
        <v>1</v>
      </c>
      <c r="O172" t="str">
        <f t="shared" si="14"/>
        <v>Susceptible</v>
      </c>
    </row>
    <row r="173" spans="1:15">
      <c r="A173" t="s">
        <v>251</v>
      </c>
      <c r="B173" t="s">
        <v>63</v>
      </c>
      <c r="C173" s="14" t="s">
        <v>60</v>
      </c>
      <c r="D173">
        <v>23</v>
      </c>
      <c r="E173" s="3" t="str">
        <f t="shared" si="15"/>
        <v>Sensitive</v>
      </c>
      <c r="F173">
        <v>20</v>
      </c>
      <c r="G173" s="3" t="str">
        <f t="shared" si="16"/>
        <v>Intermediate</v>
      </c>
      <c r="H173">
        <v>18</v>
      </c>
      <c r="I173" t="str">
        <f t="shared" si="17"/>
        <v>Sensitive</v>
      </c>
      <c r="J173">
        <v>25</v>
      </c>
      <c r="K173" t="str">
        <f t="shared" si="18"/>
        <v>Sensitive</v>
      </c>
      <c r="L173">
        <v>17</v>
      </c>
      <c r="M173" s="8" t="str">
        <f t="shared" si="19"/>
        <v>Resistant</v>
      </c>
      <c r="N173">
        <f t="shared" si="20"/>
        <v>1</v>
      </c>
      <c r="O173" t="str">
        <f t="shared" si="14"/>
        <v>Susceptible</v>
      </c>
    </row>
    <row r="174" spans="1:15">
      <c r="A174" t="s">
        <v>252</v>
      </c>
      <c r="B174" t="s">
        <v>63</v>
      </c>
      <c r="C174" s="14" t="s">
        <v>60</v>
      </c>
      <c r="D174">
        <v>20</v>
      </c>
      <c r="E174" s="3" t="str">
        <f t="shared" si="15"/>
        <v>Intermediate</v>
      </c>
      <c r="F174">
        <v>0</v>
      </c>
      <c r="G174" s="3" t="str">
        <f t="shared" si="16"/>
        <v>Resistant</v>
      </c>
      <c r="H174">
        <v>9</v>
      </c>
      <c r="I174" t="str">
        <f t="shared" si="17"/>
        <v>Resistant</v>
      </c>
      <c r="J174">
        <v>15</v>
      </c>
      <c r="K174" t="str">
        <f t="shared" si="18"/>
        <v>Intermediate</v>
      </c>
      <c r="L174">
        <v>9</v>
      </c>
      <c r="M174" s="8" t="str">
        <f t="shared" si="19"/>
        <v>Resistant</v>
      </c>
      <c r="N174">
        <f t="shared" si="20"/>
        <v>3</v>
      </c>
      <c r="O174" t="str">
        <f t="shared" si="14"/>
        <v>MDR</v>
      </c>
    </row>
    <row r="175" spans="1:15">
      <c r="A175" t="s">
        <v>253</v>
      </c>
      <c r="B175" t="s">
        <v>63</v>
      </c>
      <c r="C175" s="14" t="s">
        <v>60</v>
      </c>
      <c r="D175">
        <v>23</v>
      </c>
      <c r="E175" s="3" t="str">
        <f t="shared" si="15"/>
        <v>Sensitive</v>
      </c>
      <c r="F175">
        <v>12</v>
      </c>
      <c r="G175" s="3" t="str">
        <f t="shared" si="16"/>
        <v>Resistant</v>
      </c>
      <c r="H175">
        <v>20</v>
      </c>
      <c r="I175" t="str">
        <f t="shared" si="17"/>
        <v>Sensitive</v>
      </c>
      <c r="J175">
        <v>25</v>
      </c>
      <c r="K175" t="str">
        <f t="shared" si="18"/>
        <v>Sensitive</v>
      </c>
      <c r="L175">
        <v>28</v>
      </c>
      <c r="M175" s="8" t="str">
        <f t="shared" si="19"/>
        <v>Sensitive</v>
      </c>
      <c r="N175">
        <f t="shared" si="20"/>
        <v>1</v>
      </c>
      <c r="O175" t="str">
        <f t="shared" si="14"/>
        <v>Susceptible</v>
      </c>
    </row>
    <row r="176" spans="1:15">
      <c r="A176" t="s">
        <v>254</v>
      </c>
      <c r="B176" t="s">
        <v>63</v>
      </c>
      <c r="C176" s="14" t="s">
        <v>60</v>
      </c>
      <c r="D176">
        <v>22</v>
      </c>
      <c r="E176" s="3" t="str">
        <f t="shared" si="15"/>
        <v>Intermediate</v>
      </c>
      <c r="F176">
        <v>10</v>
      </c>
      <c r="G176" s="3" t="str">
        <f t="shared" si="16"/>
        <v>Resistant</v>
      </c>
      <c r="H176">
        <v>18</v>
      </c>
      <c r="I176" t="str">
        <f t="shared" si="17"/>
        <v>Sensitive</v>
      </c>
      <c r="J176">
        <v>0</v>
      </c>
      <c r="K176" t="str">
        <f t="shared" si="18"/>
        <v>Resistant</v>
      </c>
      <c r="L176">
        <v>19</v>
      </c>
      <c r="M176" s="8" t="str">
        <f t="shared" si="19"/>
        <v>Resistant</v>
      </c>
      <c r="N176">
        <f t="shared" si="20"/>
        <v>3</v>
      </c>
      <c r="O176" t="str">
        <f t="shared" si="14"/>
        <v>MDR</v>
      </c>
    </row>
    <row r="177" spans="1:15">
      <c r="A177" t="s">
        <v>255</v>
      </c>
      <c r="B177" t="s">
        <v>63</v>
      </c>
      <c r="C177" s="14" t="s">
        <v>60</v>
      </c>
      <c r="D177">
        <v>19</v>
      </c>
      <c r="E177" s="3" t="str">
        <f t="shared" si="15"/>
        <v>Resistant</v>
      </c>
      <c r="F177">
        <v>22</v>
      </c>
      <c r="G177" s="3" t="str">
        <f t="shared" si="16"/>
        <v>Sensitive</v>
      </c>
      <c r="H177">
        <v>19</v>
      </c>
      <c r="I177" t="str">
        <f t="shared" si="17"/>
        <v>Sensitive</v>
      </c>
      <c r="J177">
        <v>9</v>
      </c>
      <c r="K177" t="str">
        <f t="shared" si="18"/>
        <v>Resistant</v>
      </c>
      <c r="L177">
        <v>15</v>
      </c>
      <c r="M177" s="8" t="str">
        <f t="shared" si="19"/>
        <v>Resistant</v>
      </c>
      <c r="N177">
        <f t="shared" si="20"/>
        <v>3</v>
      </c>
      <c r="O177" t="str">
        <f t="shared" si="14"/>
        <v>MDR</v>
      </c>
    </row>
    <row r="178" spans="1:15">
      <c r="A178" t="s">
        <v>256</v>
      </c>
      <c r="B178" t="s">
        <v>63</v>
      </c>
      <c r="C178" s="14" t="s">
        <v>60</v>
      </c>
      <c r="D178">
        <v>21</v>
      </c>
      <c r="E178" s="3" t="str">
        <f t="shared" si="15"/>
        <v>Intermediate</v>
      </c>
      <c r="F178">
        <v>17</v>
      </c>
      <c r="G178" s="3" t="str">
        <f t="shared" si="16"/>
        <v>Resistant</v>
      </c>
      <c r="H178">
        <v>16</v>
      </c>
      <c r="I178" t="str">
        <f t="shared" si="17"/>
        <v>Sensitive</v>
      </c>
      <c r="J178">
        <v>20</v>
      </c>
      <c r="K178" t="str">
        <f t="shared" si="18"/>
        <v>Sensitive</v>
      </c>
      <c r="L178">
        <v>26</v>
      </c>
      <c r="M178" s="8" t="str">
        <f t="shared" si="19"/>
        <v>Sensitive</v>
      </c>
      <c r="N178">
        <f t="shared" si="20"/>
        <v>1</v>
      </c>
      <c r="O178" t="str">
        <f t="shared" si="14"/>
        <v>Susceptible</v>
      </c>
    </row>
    <row r="179" spans="1:15">
      <c r="A179" t="s">
        <v>257</v>
      </c>
      <c r="B179" t="s">
        <v>63</v>
      </c>
      <c r="C179" s="14" t="s">
        <v>60</v>
      </c>
      <c r="D179">
        <v>21</v>
      </c>
      <c r="E179" s="3" t="str">
        <f t="shared" si="15"/>
        <v>Intermediate</v>
      </c>
      <c r="F179">
        <v>0</v>
      </c>
      <c r="G179" s="3" t="str">
        <f t="shared" si="16"/>
        <v>Resistant</v>
      </c>
      <c r="H179">
        <v>17</v>
      </c>
      <c r="I179" t="str">
        <f t="shared" si="17"/>
        <v>Sensitive</v>
      </c>
      <c r="J179">
        <v>7</v>
      </c>
      <c r="K179" t="str">
        <f t="shared" si="18"/>
        <v>Resistant</v>
      </c>
      <c r="L179">
        <v>20</v>
      </c>
      <c r="M179" s="8" t="str">
        <f t="shared" si="19"/>
        <v>Resistant</v>
      </c>
      <c r="N179">
        <f t="shared" si="20"/>
        <v>3</v>
      </c>
      <c r="O179" t="str">
        <f t="shared" si="14"/>
        <v>MDR</v>
      </c>
    </row>
    <row r="180" spans="1:15">
      <c r="A180" t="s">
        <v>258</v>
      </c>
      <c r="B180" t="s">
        <v>63</v>
      </c>
      <c r="C180" s="14" t="s">
        <v>60</v>
      </c>
      <c r="D180">
        <v>22</v>
      </c>
      <c r="E180" s="3" t="str">
        <f t="shared" si="15"/>
        <v>Intermediate</v>
      </c>
      <c r="F180">
        <v>0</v>
      </c>
      <c r="G180" s="3" t="str">
        <f t="shared" si="16"/>
        <v>Resistant</v>
      </c>
      <c r="H180">
        <v>17</v>
      </c>
      <c r="I180" t="str">
        <f t="shared" si="17"/>
        <v>Sensitive</v>
      </c>
      <c r="J180">
        <v>13</v>
      </c>
      <c r="K180" t="str">
        <f t="shared" si="18"/>
        <v>Resistant</v>
      </c>
      <c r="L180">
        <v>23</v>
      </c>
      <c r="M180" s="8" t="str">
        <f t="shared" si="19"/>
        <v>Intermediate</v>
      </c>
      <c r="N180">
        <f t="shared" si="20"/>
        <v>2</v>
      </c>
      <c r="O180" t="str">
        <f t="shared" si="14"/>
        <v>Susceptible</v>
      </c>
    </row>
    <row r="181" spans="1:15">
      <c r="A181" t="s">
        <v>259</v>
      </c>
      <c r="B181" t="s">
        <v>63</v>
      </c>
      <c r="C181" s="14" t="s">
        <v>60</v>
      </c>
      <c r="D181">
        <v>20</v>
      </c>
      <c r="E181" s="3" t="str">
        <f t="shared" si="15"/>
        <v>Intermediate</v>
      </c>
      <c r="F181">
        <v>13</v>
      </c>
      <c r="G181" s="3" t="str">
        <f t="shared" si="16"/>
        <v>Resistant</v>
      </c>
      <c r="H181">
        <v>18</v>
      </c>
      <c r="I181" t="str">
        <f t="shared" si="17"/>
        <v>Sensitive</v>
      </c>
      <c r="J181">
        <v>0</v>
      </c>
      <c r="K181" t="str">
        <f t="shared" si="18"/>
        <v>Resistant</v>
      </c>
      <c r="L181">
        <v>22</v>
      </c>
      <c r="M181" s="8" t="str">
        <f t="shared" si="19"/>
        <v>Intermediate</v>
      </c>
      <c r="N181">
        <f t="shared" si="20"/>
        <v>2</v>
      </c>
      <c r="O181" t="str">
        <f t="shared" si="14"/>
        <v>Susceptible</v>
      </c>
    </row>
    <row r="182" spans="1:15">
      <c r="A182" t="s">
        <v>260</v>
      </c>
      <c r="B182" t="s">
        <v>63</v>
      </c>
      <c r="C182" s="14" t="s">
        <v>60</v>
      </c>
      <c r="D182">
        <v>26</v>
      </c>
      <c r="E182" s="3" t="str">
        <f t="shared" si="15"/>
        <v>Sensitive</v>
      </c>
      <c r="F182">
        <v>12</v>
      </c>
      <c r="G182" s="3" t="str">
        <f t="shared" si="16"/>
        <v>Resistant</v>
      </c>
      <c r="H182">
        <v>21</v>
      </c>
      <c r="I182" t="str">
        <f t="shared" si="17"/>
        <v>Sensitive</v>
      </c>
      <c r="J182">
        <v>0</v>
      </c>
      <c r="K182" t="str">
        <f t="shared" si="18"/>
        <v>Resistant</v>
      </c>
      <c r="L182">
        <v>22</v>
      </c>
      <c r="M182" s="8" t="str">
        <f t="shared" si="19"/>
        <v>Intermediate</v>
      </c>
      <c r="N182">
        <f t="shared" si="20"/>
        <v>2</v>
      </c>
      <c r="O182" t="str">
        <f t="shared" si="14"/>
        <v>Susceptible</v>
      </c>
    </row>
    <row r="183" spans="1:15">
      <c r="A183" t="s">
        <v>261</v>
      </c>
      <c r="B183" t="s">
        <v>63</v>
      </c>
      <c r="C183" s="14" t="s">
        <v>60</v>
      </c>
      <c r="D183">
        <v>17</v>
      </c>
      <c r="E183" s="3" t="str">
        <f t="shared" si="15"/>
        <v>Resistant</v>
      </c>
      <c r="F183">
        <v>0</v>
      </c>
      <c r="G183" s="3" t="str">
        <f t="shared" si="16"/>
        <v>Resistant</v>
      </c>
      <c r="H183">
        <v>8</v>
      </c>
      <c r="I183" t="str">
        <f t="shared" si="17"/>
        <v>Resistant</v>
      </c>
      <c r="J183">
        <v>0</v>
      </c>
      <c r="K183" t="str">
        <f t="shared" si="18"/>
        <v>Resistant</v>
      </c>
      <c r="L183">
        <v>9</v>
      </c>
      <c r="M183" s="8" t="str">
        <f t="shared" si="19"/>
        <v>Resistant</v>
      </c>
      <c r="N183">
        <f t="shared" si="20"/>
        <v>5</v>
      </c>
      <c r="O183" t="str">
        <f t="shared" si="14"/>
        <v>XDR*</v>
      </c>
    </row>
    <row r="184" spans="1:15">
      <c r="A184" t="s">
        <v>262</v>
      </c>
      <c r="B184" t="s">
        <v>63</v>
      </c>
      <c r="C184" s="14" t="s">
        <v>60</v>
      </c>
      <c r="D184">
        <v>21</v>
      </c>
      <c r="E184" s="3" t="str">
        <f t="shared" si="15"/>
        <v>Intermediate</v>
      </c>
      <c r="F184">
        <v>0</v>
      </c>
      <c r="G184" s="3" t="str">
        <f t="shared" si="16"/>
        <v>Resistant</v>
      </c>
      <c r="H184">
        <v>18</v>
      </c>
      <c r="I184" t="str">
        <f t="shared" si="17"/>
        <v>Sensitive</v>
      </c>
      <c r="J184">
        <v>12</v>
      </c>
      <c r="K184" t="str">
        <f t="shared" si="18"/>
        <v>Resistant</v>
      </c>
      <c r="L184">
        <v>20</v>
      </c>
      <c r="M184" s="8" t="str">
        <f t="shared" si="19"/>
        <v>Resistant</v>
      </c>
      <c r="N184">
        <f t="shared" si="20"/>
        <v>3</v>
      </c>
      <c r="O184" t="str">
        <f t="shared" si="14"/>
        <v>MDR</v>
      </c>
    </row>
    <row r="185" spans="1:15">
      <c r="A185" t="s">
        <v>263</v>
      </c>
      <c r="B185" t="s">
        <v>63</v>
      </c>
      <c r="C185" s="14" t="s">
        <v>60</v>
      </c>
      <c r="D185">
        <v>22</v>
      </c>
      <c r="E185" s="3" t="str">
        <f t="shared" si="15"/>
        <v>Intermediate</v>
      </c>
      <c r="F185">
        <v>0</v>
      </c>
      <c r="G185" s="3" t="str">
        <f t="shared" si="16"/>
        <v>Resistant</v>
      </c>
      <c r="H185">
        <v>18</v>
      </c>
      <c r="I185" t="str">
        <f t="shared" si="17"/>
        <v>Sensitive</v>
      </c>
      <c r="J185">
        <v>19</v>
      </c>
      <c r="K185" t="str">
        <f t="shared" si="18"/>
        <v>Sensitive</v>
      </c>
      <c r="L185">
        <v>25</v>
      </c>
      <c r="M185" s="8" t="str">
        <f t="shared" si="19"/>
        <v>Intermediate</v>
      </c>
      <c r="N185">
        <f t="shared" si="20"/>
        <v>1</v>
      </c>
      <c r="O185" t="str">
        <f t="shared" si="14"/>
        <v>Susceptible</v>
      </c>
    </row>
    <row r="186" spans="1:15">
      <c r="A186" t="s">
        <v>264</v>
      </c>
      <c r="B186" t="s">
        <v>63</v>
      </c>
      <c r="C186" s="14" t="s">
        <v>60</v>
      </c>
      <c r="D186">
        <v>24</v>
      </c>
      <c r="E186" s="3" t="str">
        <f t="shared" si="15"/>
        <v>Sensitive</v>
      </c>
      <c r="F186">
        <v>16</v>
      </c>
      <c r="G186" s="3" t="str">
        <f t="shared" si="16"/>
        <v>Resistant</v>
      </c>
      <c r="H186">
        <v>14</v>
      </c>
      <c r="I186" t="str">
        <f t="shared" si="17"/>
        <v>Intermediate</v>
      </c>
      <c r="J186">
        <v>16</v>
      </c>
      <c r="K186" t="str">
        <f t="shared" si="18"/>
        <v>Intermediate</v>
      </c>
      <c r="L186">
        <v>24</v>
      </c>
      <c r="M186" s="8" t="str">
        <f t="shared" si="19"/>
        <v>Intermediate</v>
      </c>
      <c r="N186">
        <f t="shared" si="20"/>
        <v>1</v>
      </c>
      <c r="O186" t="str">
        <f t="shared" si="14"/>
        <v>Susceptible</v>
      </c>
    </row>
    <row r="187" spans="1:15">
      <c r="A187" t="s">
        <v>265</v>
      </c>
      <c r="B187" t="s">
        <v>63</v>
      </c>
      <c r="C187" s="14" t="s">
        <v>60</v>
      </c>
      <c r="D187">
        <v>28</v>
      </c>
      <c r="E187" s="3" t="str">
        <f t="shared" si="15"/>
        <v>Sensitive</v>
      </c>
      <c r="F187">
        <v>10</v>
      </c>
      <c r="G187" s="3" t="str">
        <f t="shared" si="16"/>
        <v>Resistant</v>
      </c>
      <c r="H187">
        <v>21</v>
      </c>
      <c r="I187" t="str">
        <f t="shared" si="17"/>
        <v>Sensitive</v>
      </c>
      <c r="J187">
        <v>18</v>
      </c>
      <c r="K187" t="str">
        <f t="shared" si="18"/>
        <v>Sensitive</v>
      </c>
      <c r="L187">
        <v>23</v>
      </c>
      <c r="M187" s="8" t="str">
        <f t="shared" si="19"/>
        <v>Intermediate</v>
      </c>
      <c r="N187">
        <f t="shared" si="20"/>
        <v>1</v>
      </c>
      <c r="O187" t="str">
        <f t="shared" si="14"/>
        <v>Susceptible</v>
      </c>
    </row>
    <row r="188" spans="1:15">
      <c r="A188" t="s">
        <v>266</v>
      </c>
      <c r="B188" t="s">
        <v>63</v>
      </c>
      <c r="C188" s="14" t="s">
        <v>60</v>
      </c>
      <c r="D188">
        <v>16</v>
      </c>
      <c r="E188" s="3" t="str">
        <f t="shared" si="15"/>
        <v>Resistant</v>
      </c>
      <c r="F188">
        <v>0</v>
      </c>
      <c r="G188" s="3" t="str">
        <f t="shared" si="16"/>
        <v>Resistant</v>
      </c>
      <c r="H188">
        <v>10</v>
      </c>
      <c r="I188" t="str">
        <f t="shared" si="17"/>
        <v>Resistant</v>
      </c>
      <c r="J188">
        <v>11</v>
      </c>
      <c r="K188" t="str">
        <f t="shared" si="18"/>
        <v>Resistant</v>
      </c>
      <c r="L188">
        <v>9</v>
      </c>
      <c r="M188" s="8" t="str">
        <f t="shared" si="19"/>
        <v>Resistant</v>
      </c>
      <c r="N188">
        <f t="shared" si="20"/>
        <v>5</v>
      </c>
      <c r="O188" t="str">
        <f t="shared" si="14"/>
        <v>XDR*</v>
      </c>
    </row>
    <row r="189" spans="1:15">
      <c r="A189" t="s">
        <v>267</v>
      </c>
      <c r="B189" t="s">
        <v>63</v>
      </c>
      <c r="C189" s="14" t="s">
        <v>60</v>
      </c>
      <c r="D189">
        <v>33</v>
      </c>
      <c r="E189" s="3" t="str">
        <f t="shared" si="15"/>
        <v>Sensitive</v>
      </c>
      <c r="F189">
        <v>0</v>
      </c>
      <c r="G189" s="3" t="str">
        <f t="shared" si="16"/>
        <v>Resistant</v>
      </c>
      <c r="H189">
        <v>22</v>
      </c>
      <c r="I189" t="str">
        <f t="shared" si="17"/>
        <v>Sensitive</v>
      </c>
      <c r="J189">
        <v>15</v>
      </c>
      <c r="K189" t="str">
        <f t="shared" si="18"/>
        <v>Intermediate</v>
      </c>
      <c r="L189">
        <v>25</v>
      </c>
      <c r="M189" s="8" t="str">
        <f t="shared" si="19"/>
        <v>Intermediate</v>
      </c>
      <c r="N189">
        <f t="shared" si="20"/>
        <v>1</v>
      </c>
      <c r="O189" t="str">
        <f t="shared" si="14"/>
        <v>Susceptible</v>
      </c>
    </row>
    <row r="190" spans="1:15">
      <c r="A190" t="s">
        <v>268</v>
      </c>
      <c r="B190" t="s">
        <v>63</v>
      </c>
      <c r="C190" s="14" t="s">
        <v>60</v>
      </c>
      <c r="D190">
        <v>14</v>
      </c>
      <c r="E190" s="3" t="str">
        <f t="shared" si="15"/>
        <v>Resistant</v>
      </c>
      <c r="F190">
        <v>0</v>
      </c>
      <c r="G190" s="3" t="str">
        <f t="shared" si="16"/>
        <v>Resistant</v>
      </c>
      <c r="H190">
        <v>12</v>
      </c>
      <c r="I190" t="str">
        <f t="shared" si="17"/>
        <v>Resistant</v>
      </c>
      <c r="J190">
        <v>13</v>
      </c>
      <c r="K190" t="str">
        <f t="shared" si="18"/>
        <v>Resistant</v>
      </c>
      <c r="L190">
        <v>0</v>
      </c>
      <c r="M190" s="8" t="str">
        <f t="shared" si="19"/>
        <v>Resistant</v>
      </c>
      <c r="N190">
        <f t="shared" si="20"/>
        <v>5</v>
      </c>
      <c r="O190" t="str">
        <f t="shared" si="14"/>
        <v>XDR*</v>
      </c>
    </row>
    <row r="191" spans="1:15">
      <c r="A191" t="s">
        <v>269</v>
      </c>
      <c r="B191" t="s">
        <v>63</v>
      </c>
      <c r="C191" t="s">
        <v>59</v>
      </c>
      <c r="D191">
        <v>18</v>
      </c>
      <c r="E191" s="3" t="str">
        <f t="shared" si="15"/>
        <v>Resistant</v>
      </c>
      <c r="F191">
        <v>17</v>
      </c>
      <c r="G191" s="3" t="str">
        <f t="shared" si="16"/>
        <v>Resistant</v>
      </c>
      <c r="H191">
        <v>16</v>
      </c>
      <c r="I191" t="str">
        <f t="shared" si="17"/>
        <v>Sensitive</v>
      </c>
      <c r="J191">
        <v>0</v>
      </c>
      <c r="K191" t="str">
        <f t="shared" si="18"/>
        <v>Resistant</v>
      </c>
      <c r="L191">
        <v>22</v>
      </c>
      <c r="M191" s="8" t="str">
        <f t="shared" si="19"/>
        <v>Intermediate</v>
      </c>
      <c r="N191">
        <f t="shared" si="20"/>
        <v>3</v>
      </c>
      <c r="O191" t="str">
        <f t="shared" si="14"/>
        <v>MDR</v>
      </c>
    </row>
    <row r="192" spans="1:15">
      <c r="A192" t="s">
        <v>270</v>
      </c>
      <c r="B192" t="s">
        <v>63</v>
      </c>
      <c r="C192" t="s">
        <v>59</v>
      </c>
      <c r="D192">
        <v>24</v>
      </c>
      <c r="E192" s="3" t="str">
        <f t="shared" si="15"/>
        <v>Sensitive</v>
      </c>
      <c r="F192">
        <v>0</v>
      </c>
      <c r="G192" s="3" t="str">
        <f t="shared" si="16"/>
        <v>Resistant</v>
      </c>
      <c r="H192">
        <v>9</v>
      </c>
      <c r="I192" t="str">
        <f t="shared" si="17"/>
        <v>Resistant</v>
      </c>
      <c r="J192">
        <v>0</v>
      </c>
      <c r="K192" t="str">
        <f t="shared" si="18"/>
        <v>Resistant</v>
      </c>
      <c r="L192">
        <v>0</v>
      </c>
      <c r="M192" s="8" t="str">
        <f t="shared" si="19"/>
        <v>Resistant</v>
      </c>
      <c r="N192">
        <f t="shared" si="20"/>
        <v>4</v>
      </c>
      <c r="O192" t="str">
        <f t="shared" si="14"/>
        <v>XDR</v>
      </c>
    </row>
    <row r="193" spans="1:15">
      <c r="A193" t="s">
        <v>271</v>
      </c>
      <c r="B193" t="s">
        <v>63</v>
      </c>
      <c r="C193" t="s">
        <v>59</v>
      </c>
      <c r="D193">
        <v>24</v>
      </c>
      <c r="E193" s="3" t="str">
        <f t="shared" si="15"/>
        <v>Sensitive</v>
      </c>
      <c r="F193">
        <v>0</v>
      </c>
      <c r="G193" s="3" t="str">
        <f t="shared" si="16"/>
        <v>Resistant</v>
      </c>
      <c r="H193">
        <v>8</v>
      </c>
      <c r="I193" t="str">
        <f t="shared" si="17"/>
        <v>Resistant</v>
      </c>
      <c r="J193">
        <v>0</v>
      </c>
      <c r="K193" t="str">
        <f t="shared" si="18"/>
        <v>Resistant</v>
      </c>
      <c r="L193">
        <v>0</v>
      </c>
      <c r="M193" s="8" t="str">
        <f t="shared" si="19"/>
        <v>Resistant</v>
      </c>
      <c r="N193">
        <f t="shared" si="20"/>
        <v>4</v>
      </c>
      <c r="O193" t="str">
        <f t="shared" si="14"/>
        <v>XDR</v>
      </c>
    </row>
    <row r="194" spans="1:15">
      <c r="A194" t="s">
        <v>272</v>
      </c>
      <c r="B194" t="s">
        <v>63</v>
      </c>
      <c r="C194" t="s">
        <v>59</v>
      </c>
      <c r="D194">
        <v>20</v>
      </c>
      <c r="E194" s="3" t="str">
        <f t="shared" si="15"/>
        <v>Intermediate</v>
      </c>
      <c r="F194">
        <v>0</v>
      </c>
      <c r="G194" s="3" t="str">
        <f t="shared" si="16"/>
        <v>Resistant</v>
      </c>
      <c r="H194">
        <v>10</v>
      </c>
      <c r="I194" t="str">
        <f t="shared" si="17"/>
        <v>Resistant</v>
      </c>
      <c r="J194">
        <v>0</v>
      </c>
      <c r="K194" t="str">
        <f t="shared" si="18"/>
        <v>Resistant</v>
      </c>
      <c r="L194">
        <v>11</v>
      </c>
      <c r="M194" s="8" t="str">
        <f t="shared" si="19"/>
        <v>Resistant</v>
      </c>
      <c r="N194">
        <f t="shared" si="20"/>
        <v>4</v>
      </c>
      <c r="O194" t="str">
        <f t="shared" ref="O194:O257" si="21">_xlfn.IFS(N194&lt;=2, "Susceptible",N194=3,"MDR",N194=4, "XDR",N194=5, "XDR*")</f>
        <v>XDR</v>
      </c>
    </row>
    <row r="195" spans="1:15">
      <c r="A195" t="s">
        <v>273</v>
      </c>
      <c r="B195" t="s">
        <v>63</v>
      </c>
      <c r="C195" t="s">
        <v>59</v>
      </c>
      <c r="D195">
        <v>22</v>
      </c>
      <c r="E195" s="3" t="str">
        <f t="shared" ref="E195:E258" si="22">_xlfn.IFS(D195&lt;=19, "Resistant", D195&lt;=22, "Intermediate", D195&gt;=23, "Sensitive")</f>
        <v>Intermediate</v>
      </c>
      <c r="F195">
        <v>0</v>
      </c>
      <c r="G195" s="3" t="str">
        <f t="shared" ref="G195:G258" si="23">_xlfn.IFS(F195&lt;=17, "Resistant", F195&lt;=20, "Intermediate", F195&gt;=21, "Sensitive")</f>
        <v>Resistant</v>
      </c>
      <c r="H195">
        <v>22</v>
      </c>
      <c r="I195" t="str">
        <f t="shared" ref="I195:I258" si="24">_xlfn.IFS(H195&lt;=12, "Resistant", H195&lt;=14, "Intermediate", H195&gt;=15, "Sensitive")</f>
        <v>Sensitive</v>
      </c>
      <c r="J195">
        <v>12</v>
      </c>
      <c r="K195" t="str">
        <f t="shared" ref="K195:K258" si="25">_xlfn.IFS(J195&lt;=13, "Resistant", J195&lt;=17, "Intermediate", J195&gt;=18, "Sensitive")</f>
        <v>Resistant</v>
      </c>
      <c r="L195">
        <v>10</v>
      </c>
      <c r="M195" s="8" t="str">
        <f t="shared" ref="M195:M258" si="26">_xlfn.IFS(L195&lt;=21, "Resistant", L195&lt;=25, "Intermediate", L195&gt;=26, "Sensitive")</f>
        <v>Resistant</v>
      </c>
      <c r="N195">
        <f t="shared" ref="N195:N258" si="27">COUNTIF(E195:M195,"Resistant")</f>
        <v>3</v>
      </c>
      <c r="O195" t="str">
        <f t="shared" si="21"/>
        <v>MDR</v>
      </c>
    </row>
    <row r="196" spans="1:15">
      <c r="A196" t="s">
        <v>274</v>
      </c>
      <c r="B196" t="s">
        <v>63</v>
      </c>
      <c r="C196" t="s">
        <v>59</v>
      </c>
      <c r="D196">
        <v>23</v>
      </c>
      <c r="E196" s="3" t="str">
        <f t="shared" si="22"/>
        <v>Sensitive</v>
      </c>
      <c r="F196">
        <v>0</v>
      </c>
      <c r="G196" s="3" t="str">
        <f t="shared" si="23"/>
        <v>Resistant</v>
      </c>
      <c r="H196">
        <v>16</v>
      </c>
      <c r="I196" t="str">
        <f t="shared" si="24"/>
        <v>Sensitive</v>
      </c>
      <c r="J196">
        <v>0</v>
      </c>
      <c r="K196" t="str">
        <f t="shared" si="25"/>
        <v>Resistant</v>
      </c>
      <c r="L196">
        <v>25</v>
      </c>
      <c r="M196" s="8" t="str">
        <f t="shared" si="26"/>
        <v>Intermediate</v>
      </c>
      <c r="N196">
        <f t="shared" si="27"/>
        <v>2</v>
      </c>
      <c r="O196" t="str">
        <f t="shared" si="21"/>
        <v>Susceptible</v>
      </c>
    </row>
    <row r="197" spans="1:15">
      <c r="A197" t="s">
        <v>275</v>
      </c>
      <c r="B197" t="s">
        <v>63</v>
      </c>
      <c r="C197" t="s">
        <v>59</v>
      </c>
      <c r="D197">
        <v>21</v>
      </c>
      <c r="E197" s="3" t="str">
        <f t="shared" si="22"/>
        <v>Intermediate</v>
      </c>
      <c r="F197">
        <v>0</v>
      </c>
      <c r="G197" s="3" t="str">
        <f t="shared" si="23"/>
        <v>Resistant</v>
      </c>
      <c r="H197">
        <v>20</v>
      </c>
      <c r="I197" t="str">
        <f t="shared" si="24"/>
        <v>Sensitive</v>
      </c>
      <c r="J197">
        <v>11</v>
      </c>
      <c r="K197" t="str">
        <f t="shared" si="25"/>
        <v>Resistant</v>
      </c>
      <c r="L197">
        <v>25</v>
      </c>
      <c r="M197" s="8" t="str">
        <f t="shared" si="26"/>
        <v>Intermediate</v>
      </c>
      <c r="N197">
        <f t="shared" si="27"/>
        <v>2</v>
      </c>
      <c r="O197" t="str">
        <f t="shared" si="21"/>
        <v>Susceptible</v>
      </c>
    </row>
    <row r="198" spans="1:15">
      <c r="A198" t="s">
        <v>276</v>
      </c>
      <c r="B198" t="s">
        <v>63</v>
      </c>
      <c r="C198" t="s">
        <v>59</v>
      </c>
      <c r="D198">
        <v>22</v>
      </c>
      <c r="E198" s="3" t="str">
        <f t="shared" si="22"/>
        <v>Intermediate</v>
      </c>
      <c r="F198">
        <v>0</v>
      </c>
      <c r="G198" s="3" t="str">
        <f t="shared" si="23"/>
        <v>Resistant</v>
      </c>
      <c r="H198">
        <v>21</v>
      </c>
      <c r="I198" t="str">
        <f t="shared" si="24"/>
        <v>Sensitive</v>
      </c>
      <c r="J198">
        <v>15</v>
      </c>
      <c r="K198" t="str">
        <f t="shared" si="25"/>
        <v>Intermediate</v>
      </c>
      <c r="L198">
        <v>0</v>
      </c>
      <c r="M198" s="8" t="str">
        <f t="shared" si="26"/>
        <v>Resistant</v>
      </c>
      <c r="N198">
        <f t="shared" si="27"/>
        <v>2</v>
      </c>
      <c r="O198" t="str">
        <f t="shared" si="21"/>
        <v>Susceptible</v>
      </c>
    </row>
    <row r="199" spans="1:15">
      <c r="A199" t="s">
        <v>277</v>
      </c>
      <c r="B199" t="s">
        <v>63</v>
      </c>
      <c r="C199" t="s">
        <v>59</v>
      </c>
      <c r="D199">
        <v>24</v>
      </c>
      <c r="E199" s="3" t="str">
        <f t="shared" si="22"/>
        <v>Sensitive</v>
      </c>
      <c r="F199">
        <v>18</v>
      </c>
      <c r="G199" s="3" t="str">
        <f t="shared" si="23"/>
        <v>Intermediate</v>
      </c>
      <c r="H199">
        <v>23</v>
      </c>
      <c r="I199" t="str">
        <f t="shared" si="24"/>
        <v>Sensitive</v>
      </c>
      <c r="J199">
        <v>23</v>
      </c>
      <c r="K199" t="str">
        <f t="shared" si="25"/>
        <v>Sensitive</v>
      </c>
      <c r="L199">
        <v>24</v>
      </c>
      <c r="M199" s="8" t="str">
        <f t="shared" si="26"/>
        <v>Intermediate</v>
      </c>
      <c r="N199">
        <f t="shared" si="27"/>
        <v>0</v>
      </c>
      <c r="O199" t="str">
        <f t="shared" si="21"/>
        <v>Susceptible</v>
      </c>
    </row>
    <row r="200" spans="1:15">
      <c r="A200" t="s">
        <v>278</v>
      </c>
      <c r="B200" t="s">
        <v>63</v>
      </c>
      <c r="C200" t="s">
        <v>59</v>
      </c>
      <c r="D200">
        <v>33</v>
      </c>
      <c r="E200" s="3" t="str">
        <f t="shared" si="22"/>
        <v>Sensitive</v>
      </c>
      <c r="F200">
        <v>12</v>
      </c>
      <c r="G200" s="3" t="str">
        <f t="shared" si="23"/>
        <v>Resistant</v>
      </c>
      <c r="H200">
        <v>27</v>
      </c>
      <c r="I200" t="str">
        <f t="shared" si="24"/>
        <v>Sensitive</v>
      </c>
      <c r="J200">
        <v>20</v>
      </c>
      <c r="K200" t="str">
        <f t="shared" si="25"/>
        <v>Sensitive</v>
      </c>
      <c r="L200">
        <v>28</v>
      </c>
      <c r="M200" s="8" t="str">
        <f t="shared" si="26"/>
        <v>Sensitive</v>
      </c>
      <c r="N200">
        <f t="shared" si="27"/>
        <v>1</v>
      </c>
      <c r="O200" t="str">
        <f t="shared" si="21"/>
        <v>Susceptible</v>
      </c>
    </row>
    <row r="201" spans="1:15">
      <c r="A201" t="s">
        <v>279</v>
      </c>
      <c r="B201" t="s">
        <v>63</v>
      </c>
      <c r="C201" t="s">
        <v>59</v>
      </c>
      <c r="D201">
        <v>20</v>
      </c>
      <c r="E201" s="3" t="str">
        <f t="shared" si="22"/>
        <v>Intermediate</v>
      </c>
      <c r="F201">
        <v>0</v>
      </c>
      <c r="G201" s="3" t="str">
        <f t="shared" si="23"/>
        <v>Resistant</v>
      </c>
      <c r="H201">
        <v>19</v>
      </c>
      <c r="I201" t="str">
        <f t="shared" si="24"/>
        <v>Sensitive</v>
      </c>
      <c r="J201">
        <v>14</v>
      </c>
      <c r="K201" t="str">
        <f t="shared" si="25"/>
        <v>Intermediate</v>
      </c>
      <c r="L201">
        <v>23</v>
      </c>
      <c r="M201" s="8" t="str">
        <f t="shared" si="26"/>
        <v>Intermediate</v>
      </c>
      <c r="N201">
        <f t="shared" si="27"/>
        <v>1</v>
      </c>
      <c r="O201" t="str">
        <f t="shared" si="21"/>
        <v>Susceptible</v>
      </c>
    </row>
    <row r="202" spans="1:15">
      <c r="A202" t="s">
        <v>280</v>
      </c>
      <c r="B202" t="s">
        <v>63</v>
      </c>
      <c r="C202" t="s">
        <v>59</v>
      </c>
      <c r="D202">
        <v>26</v>
      </c>
      <c r="E202" s="3" t="str">
        <f t="shared" si="22"/>
        <v>Sensitive</v>
      </c>
      <c r="F202">
        <v>0</v>
      </c>
      <c r="G202" s="3" t="str">
        <f t="shared" si="23"/>
        <v>Resistant</v>
      </c>
      <c r="H202">
        <v>20</v>
      </c>
      <c r="I202" t="str">
        <f t="shared" si="24"/>
        <v>Sensitive</v>
      </c>
      <c r="J202">
        <v>12</v>
      </c>
      <c r="K202" t="str">
        <f t="shared" si="25"/>
        <v>Resistant</v>
      </c>
      <c r="L202">
        <v>13</v>
      </c>
      <c r="M202" s="8" t="str">
        <f t="shared" si="26"/>
        <v>Resistant</v>
      </c>
      <c r="N202">
        <f t="shared" si="27"/>
        <v>3</v>
      </c>
      <c r="O202" t="str">
        <f t="shared" si="21"/>
        <v>MDR</v>
      </c>
    </row>
    <row r="203" spans="1:15">
      <c r="A203" t="s">
        <v>281</v>
      </c>
      <c r="B203" t="s">
        <v>63</v>
      </c>
      <c r="C203" t="s">
        <v>59</v>
      </c>
      <c r="D203">
        <v>25</v>
      </c>
      <c r="E203" s="3" t="str">
        <f t="shared" si="22"/>
        <v>Sensitive</v>
      </c>
      <c r="F203">
        <v>0</v>
      </c>
      <c r="G203" s="3" t="str">
        <f t="shared" si="23"/>
        <v>Resistant</v>
      </c>
      <c r="H203">
        <v>17</v>
      </c>
      <c r="I203" t="str">
        <f t="shared" si="24"/>
        <v>Sensitive</v>
      </c>
      <c r="J203">
        <v>12</v>
      </c>
      <c r="K203" t="str">
        <f t="shared" si="25"/>
        <v>Resistant</v>
      </c>
      <c r="L203">
        <v>21</v>
      </c>
      <c r="M203" s="8" t="str">
        <f t="shared" si="26"/>
        <v>Resistant</v>
      </c>
      <c r="N203">
        <f t="shared" si="27"/>
        <v>3</v>
      </c>
      <c r="O203" t="str">
        <f t="shared" si="21"/>
        <v>MDR</v>
      </c>
    </row>
    <row r="204" spans="1:15">
      <c r="A204" t="s">
        <v>282</v>
      </c>
      <c r="B204" t="s">
        <v>63</v>
      </c>
      <c r="C204" t="s">
        <v>59</v>
      </c>
      <c r="D204">
        <v>21</v>
      </c>
      <c r="E204" s="3" t="str">
        <f t="shared" si="22"/>
        <v>Intermediate</v>
      </c>
      <c r="F204">
        <v>0</v>
      </c>
      <c r="G204" s="3" t="str">
        <f t="shared" si="23"/>
        <v>Resistant</v>
      </c>
      <c r="H204">
        <v>15</v>
      </c>
      <c r="I204" t="str">
        <f t="shared" si="24"/>
        <v>Sensitive</v>
      </c>
      <c r="J204">
        <v>11</v>
      </c>
      <c r="K204" t="str">
        <f t="shared" si="25"/>
        <v>Resistant</v>
      </c>
      <c r="L204">
        <v>12</v>
      </c>
      <c r="M204" s="8" t="str">
        <f t="shared" si="26"/>
        <v>Resistant</v>
      </c>
      <c r="N204">
        <f t="shared" si="27"/>
        <v>3</v>
      </c>
      <c r="O204" t="str">
        <f t="shared" si="21"/>
        <v>MDR</v>
      </c>
    </row>
    <row r="205" spans="1:15">
      <c r="A205" t="s">
        <v>283</v>
      </c>
      <c r="B205" t="s">
        <v>63</v>
      </c>
      <c r="C205" t="s">
        <v>59</v>
      </c>
      <c r="D205">
        <v>30</v>
      </c>
      <c r="E205" s="3" t="str">
        <f t="shared" si="22"/>
        <v>Sensitive</v>
      </c>
      <c r="F205">
        <v>0</v>
      </c>
      <c r="G205" s="3" t="str">
        <f t="shared" si="23"/>
        <v>Resistant</v>
      </c>
      <c r="H205">
        <v>22</v>
      </c>
      <c r="I205" t="str">
        <f t="shared" si="24"/>
        <v>Sensitive</v>
      </c>
      <c r="J205">
        <v>13</v>
      </c>
      <c r="K205" t="str">
        <f t="shared" si="25"/>
        <v>Resistant</v>
      </c>
      <c r="L205">
        <v>26</v>
      </c>
      <c r="M205" s="8" t="str">
        <f t="shared" si="26"/>
        <v>Sensitive</v>
      </c>
      <c r="N205">
        <f t="shared" si="27"/>
        <v>2</v>
      </c>
      <c r="O205" t="str">
        <f t="shared" si="21"/>
        <v>Susceptible</v>
      </c>
    </row>
    <row r="206" spans="1:15">
      <c r="A206" t="s">
        <v>284</v>
      </c>
      <c r="B206" t="s">
        <v>63</v>
      </c>
      <c r="C206" t="s">
        <v>59</v>
      </c>
      <c r="D206">
        <v>32</v>
      </c>
      <c r="E206" s="3" t="str">
        <f t="shared" si="22"/>
        <v>Sensitive</v>
      </c>
      <c r="F206">
        <v>0</v>
      </c>
      <c r="G206" s="3" t="str">
        <f t="shared" si="23"/>
        <v>Resistant</v>
      </c>
      <c r="H206">
        <v>19</v>
      </c>
      <c r="I206" t="str">
        <f t="shared" si="24"/>
        <v>Sensitive</v>
      </c>
      <c r="J206">
        <v>0</v>
      </c>
      <c r="K206" t="str">
        <f t="shared" si="25"/>
        <v>Resistant</v>
      </c>
      <c r="L206">
        <v>17</v>
      </c>
      <c r="M206" s="8" t="str">
        <f t="shared" si="26"/>
        <v>Resistant</v>
      </c>
      <c r="N206">
        <f t="shared" si="27"/>
        <v>3</v>
      </c>
      <c r="O206" t="str">
        <f t="shared" si="21"/>
        <v>MDR</v>
      </c>
    </row>
    <row r="207" spans="1:15">
      <c r="A207" t="s">
        <v>285</v>
      </c>
      <c r="B207" t="s">
        <v>63</v>
      </c>
      <c r="C207" t="s">
        <v>59</v>
      </c>
      <c r="D207">
        <v>20</v>
      </c>
      <c r="E207" s="3" t="str">
        <f t="shared" si="22"/>
        <v>Intermediate</v>
      </c>
      <c r="F207">
        <v>0</v>
      </c>
      <c r="G207" s="3" t="str">
        <f t="shared" si="23"/>
        <v>Resistant</v>
      </c>
      <c r="H207">
        <v>19</v>
      </c>
      <c r="I207" t="str">
        <f t="shared" si="24"/>
        <v>Sensitive</v>
      </c>
      <c r="J207">
        <v>11</v>
      </c>
      <c r="K207" t="str">
        <f t="shared" si="25"/>
        <v>Resistant</v>
      </c>
      <c r="L207">
        <v>22</v>
      </c>
      <c r="M207" s="8" t="str">
        <f t="shared" si="26"/>
        <v>Intermediate</v>
      </c>
      <c r="N207">
        <f t="shared" si="27"/>
        <v>2</v>
      </c>
      <c r="O207" t="str">
        <f t="shared" si="21"/>
        <v>Susceptible</v>
      </c>
    </row>
    <row r="208" spans="1:15">
      <c r="A208" t="s">
        <v>286</v>
      </c>
      <c r="B208" t="s">
        <v>63</v>
      </c>
      <c r="C208" t="s">
        <v>59</v>
      </c>
      <c r="D208">
        <v>25</v>
      </c>
      <c r="E208" s="3" t="str">
        <f t="shared" si="22"/>
        <v>Sensitive</v>
      </c>
      <c r="F208">
        <v>0</v>
      </c>
      <c r="G208" s="3" t="str">
        <f t="shared" si="23"/>
        <v>Resistant</v>
      </c>
      <c r="H208">
        <v>20</v>
      </c>
      <c r="I208" t="str">
        <f t="shared" si="24"/>
        <v>Sensitive</v>
      </c>
      <c r="J208">
        <v>7</v>
      </c>
      <c r="K208" t="str">
        <f t="shared" si="25"/>
        <v>Resistant</v>
      </c>
      <c r="L208">
        <v>12</v>
      </c>
      <c r="M208" s="8" t="str">
        <f t="shared" si="26"/>
        <v>Resistant</v>
      </c>
      <c r="N208">
        <f t="shared" si="27"/>
        <v>3</v>
      </c>
      <c r="O208" t="str">
        <f t="shared" si="21"/>
        <v>MDR</v>
      </c>
    </row>
    <row r="209" spans="1:15">
      <c r="A209" t="s">
        <v>287</v>
      </c>
      <c r="B209" t="s">
        <v>63</v>
      </c>
      <c r="C209" t="s">
        <v>59</v>
      </c>
      <c r="D209">
        <v>30</v>
      </c>
      <c r="E209" s="3" t="str">
        <f t="shared" si="22"/>
        <v>Sensitive</v>
      </c>
      <c r="F209">
        <v>0</v>
      </c>
      <c r="G209" s="3" t="str">
        <f t="shared" si="23"/>
        <v>Resistant</v>
      </c>
      <c r="H209">
        <v>7</v>
      </c>
      <c r="I209" t="str">
        <f t="shared" si="24"/>
        <v>Resistant</v>
      </c>
      <c r="J209">
        <v>0</v>
      </c>
      <c r="K209" t="str">
        <f t="shared" si="25"/>
        <v>Resistant</v>
      </c>
      <c r="L209">
        <v>10</v>
      </c>
      <c r="M209" s="8" t="str">
        <f t="shared" si="26"/>
        <v>Resistant</v>
      </c>
      <c r="N209">
        <f t="shared" si="27"/>
        <v>4</v>
      </c>
      <c r="O209" t="str">
        <f t="shared" si="21"/>
        <v>XDR</v>
      </c>
    </row>
    <row r="210" spans="1:15">
      <c r="A210" t="s">
        <v>288</v>
      </c>
      <c r="B210" t="s">
        <v>63</v>
      </c>
      <c r="C210" t="s">
        <v>59</v>
      </c>
      <c r="D210">
        <v>20</v>
      </c>
      <c r="E210" s="3" t="str">
        <f t="shared" si="22"/>
        <v>Intermediate</v>
      </c>
      <c r="F210">
        <v>0</v>
      </c>
      <c r="G210" s="3" t="str">
        <f t="shared" si="23"/>
        <v>Resistant</v>
      </c>
      <c r="H210">
        <v>21</v>
      </c>
      <c r="I210" t="str">
        <f t="shared" si="24"/>
        <v>Sensitive</v>
      </c>
      <c r="J210">
        <v>13</v>
      </c>
      <c r="K210" t="str">
        <f t="shared" si="25"/>
        <v>Resistant</v>
      </c>
      <c r="L210">
        <v>11</v>
      </c>
      <c r="M210" s="8" t="str">
        <f t="shared" si="26"/>
        <v>Resistant</v>
      </c>
      <c r="N210">
        <f t="shared" si="27"/>
        <v>3</v>
      </c>
      <c r="O210" t="str">
        <f t="shared" si="21"/>
        <v>MDR</v>
      </c>
    </row>
    <row r="211" spans="1:15">
      <c r="A211" t="s">
        <v>289</v>
      </c>
      <c r="B211" t="s">
        <v>63</v>
      </c>
      <c r="C211" t="s">
        <v>59</v>
      </c>
      <c r="D211">
        <v>22</v>
      </c>
      <c r="E211" s="3" t="str">
        <f t="shared" si="22"/>
        <v>Intermediate</v>
      </c>
      <c r="F211">
        <v>0</v>
      </c>
      <c r="G211" s="3" t="str">
        <f t="shared" si="23"/>
        <v>Resistant</v>
      </c>
      <c r="H211">
        <v>21</v>
      </c>
      <c r="I211" t="str">
        <f t="shared" si="24"/>
        <v>Sensitive</v>
      </c>
      <c r="J211">
        <v>12</v>
      </c>
      <c r="K211" t="str">
        <f t="shared" si="25"/>
        <v>Resistant</v>
      </c>
      <c r="L211">
        <v>23</v>
      </c>
      <c r="M211" s="8" t="str">
        <f t="shared" si="26"/>
        <v>Intermediate</v>
      </c>
      <c r="N211">
        <f t="shared" si="27"/>
        <v>2</v>
      </c>
      <c r="O211" t="str">
        <f t="shared" si="21"/>
        <v>Susceptible</v>
      </c>
    </row>
    <row r="212" spans="1:15">
      <c r="A212" t="s">
        <v>290</v>
      </c>
      <c r="B212" t="s">
        <v>63</v>
      </c>
      <c r="C212" t="s">
        <v>59</v>
      </c>
      <c r="D212">
        <v>21</v>
      </c>
      <c r="E212" s="3" t="str">
        <f t="shared" si="22"/>
        <v>Intermediate</v>
      </c>
      <c r="F212">
        <v>0</v>
      </c>
      <c r="G212" s="3" t="str">
        <f t="shared" si="23"/>
        <v>Resistant</v>
      </c>
      <c r="H212">
        <v>9</v>
      </c>
      <c r="I212" t="str">
        <f t="shared" si="24"/>
        <v>Resistant</v>
      </c>
      <c r="J212">
        <v>14</v>
      </c>
      <c r="K212" t="str">
        <f t="shared" si="25"/>
        <v>Intermediate</v>
      </c>
      <c r="L212">
        <v>0</v>
      </c>
      <c r="M212" s="8" t="str">
        <f t="shared" si="26"/>
        <v>Resistant</v>
      </c>
      <c r="N212">
        <f t="shared" si="27"/>
        <v>3</v>
      </c>
      <c r="O212" t="str">
        <f t="shared" si="21"/>
        <v>MDR</v>
      </c>
    </row>
    <row r="213" spans="1:15">
      <c r="A213" t="s">
        <v>291</v>
      </c>
      <c r="B213" t="s">
        <v>61</v>
      </c>
      <c r="C213" t="s">
        <v>58</v>
      </c>
      <c r="D213">
        <v>20</v>
      </c>
      <c r="E213" s="3" t="str">
        <f t="shared" si="22"/>
        <v>Intermediate</v>
      </c>
      <c r="F213">
        <v>21</v>
      </c>
      <c r="G213" s="3" t="str">
        <f t="shared" si="23"/>
        <v>Sensitive</v>
      </c>
      <c r="H213">
        <v>18</v>
      </c>
      <c r="I213" t="str">
        <f t="shared" si="24"/>
        <v>Sensitive</v>
      </c>
      <c r="J213">
        <v>11</v>
      </c>
      <c r="K213" t="str">
        <f t="shared" si="25"/>
        <v>Resistant</v>
      </c>
      <c r="L213">
        <v>22</v>
      </c>
      <c r="M213" s="8" t="str">
        <f t="shared" si="26"/>
        <v>Intermediate</v>
      </c>
      <c r="N213">
        <f t="shared" si="27"/>
        <v>1</v>
      </c>
      <c r="O213" t="str">
        <f t="shared" si="21"/>
        <v>Susceptible</v>
      </c>
    </row>
    <row r="214" spans="1:15">
      <c r="A214" t="s">
        <v>292</v>
      </c>
      <c r="B214" t="s">
        <v>61</v>
      </c>
      <c r="C214" t="s">
        <v>58</v>
      </c>
      <c r="D214">
        <v>16</v>
      </c>
      <c r="E214" s="3" t="str">
        <f t="shared" si="22"/>
        <v>Resistant</v>
      </c>
      <c r="F214">
        <v>20</v>
      </c>
      <c r="G214" s="3" t="str">
        <f t="shared" si="23"/>
        <v>Intermediate</v>
      </c>
      <c r="H214">
        <v>27</v>
      </c>
      <c r="I214" t="str">
        <f t="shared" si="24"/>
        <v>Sensitive</v>
      </c>
      <c r="J214">
        <v>19</v>
      </c>
      <c r="K214" t="str">
        <f t="shared" si="25"/>
        <v>Sensitive</v>
      </c>
      <c r="L214">
        <v>16</v>
      </c>
      <c r="M214" s="8" t="str">
        <f t="shared" si="26"/>
        <v>Resistant</v>
      </c>
      <c r="N214">
        <f t="shared" si="27"/>
        <v>2</v>
      </c>
      <c r="O214" t="str">
        <f t="shared" si="21"/>
        <v>Susceptible</v>
      </c>
    </row>
    <row r="215" spans="1:15">
      <c r="A215" t="s">
        <v>293</v>
      </c>
      <c r="B215" t="s">
        <v>61</v>
      </c>
      <c r="C215" t="s">
        <v>58</v>
      </c>
      <c r="D215">
        <v>36</v>
      </c>
      <c r="E215" s="3" t="str">
        <f t="shared" si="22"/>
        <v>Sensitive</v>
      </c>
      <c r="F215">
        <v>10</v>
      </c>
      <c r="G215" s="3" t="str">
        <f t="shared" si="23"/>
        <v>Resistant</v>
      </c>
      <c r="H215">
        <v>23</v>
      </c>
      <c r="I215" t="str">
        <f t="shared" si="24"/>
        <v>Sensitive</v>
      </c>
      <c r="J215">
        <v>20</v>
      </c>
      <c r="K215" t="str">
        <f t="shared" si="25"/>
        <v>Sensitive</v>
      </c>
      <c r="L215">
        <v>20</v>
      </c>
      <c r="M215" s="8" t="str">
        <f t="shared" si="26"/>
        <v>Resistant</v>
      </c>
      <c r="N215">
        <f t="shared" si="27"/>
        <v>2</v>
      </c>
      <c r="O215" t="str">
        <f t="shared" si="21"/>
        <v>Susceptible</v>
      </c>
    </row>
    <row r="216" spans="1:15">
      <c r="A216" t="s">
        <v>294</v>
      </c>
      <c r="B216" t="s">
        <v>61</v>
      </c>
      <c r="C216" t="s">
        <v>58</v>
      </c>
      <c r="D216">
        <v>31</v>
      </c>
      <c r="E216" s="3" t="str">
        <f t="shared" si="22"/>
        <v>Sensitive</v>
      </c>
      <c r="F216">
        <v>9</v>
      </c>
      <c r="G216" s="3" t="str">
        <f t="shared" si="23"/>
        <v>Resistant</v>
      </c>
      <c r="H216">
        <v>16</v>
      </c>
      <c r="I216" t="str">
        <f t="shared" si="24"/>
        <v>Sensitive</v>
      </c>
      <c r="J216">
        <v>11</v>
      </c>
      <c r="K216" t="str">
        <f t="shared" si="25"/>
        <v>Resistant</v>
      </c>
      <c r="L216">
        <v>20</v>
      </c>
      <c r="M216" s="8" t="str">
        <f t="shared" si="26"/>
        <v>Resistant</v>
      </c>
      <c r="N216">
        <f t="shared" si="27"/>
        <v>3</v>
      </c>
      <c r="O216" t="str">
        <f t="shared" si="21"/>
        <v>MDR</v>
      </c>
    </row>
    <row r="217" spans="1:15">
      <c r="A217" t="s">
        <v>295</v>
      </c>
      <c r="B217" t="s">
        <v>61</v>
      </c>
      <c r="C217" t="s">
        <v>58</v>
      </c>
      <c r="D217">
        <v>30</v>
      </c>
      <c r="E217" s="3" t="str">
        <f t="shared" si="22"/>
        <v>Sensitive</v>
      </c>
      <c r="F217">
        <v>20</v>
      </c>
      <c r="G217" s="3" t="str">
        <f t="shared" si="23"/>
        <v>Intermediate</v>
      </c>
      <c r="H217">
        <v>28</v>
      </c>
      <c r="I217" t="str">
        <f t="shared" si="24"/>
        <v>Sensitive</v>
      </c>
      <c r="J217">
        <v>35</v>
      </c>
      <c r="K217" t="str">
        <f t="shared" si="25"/>
        <v>Sensitive</v>
      </c>
      <c r="L217">
        <v>15</v>
      </c>
      <c r="M217" s="8" t="str">
        <f t="shared" si="26"/>
        <v>Resistant</v>
      </c>
      <c r="N217">
        <f t="shared" si="27"/>
        <v>1</v>
      </c>
      <c r="O217" t="str">
        <f t="shared" si="21"/>
        <v>Susceptible</v>
      </c>
    </row>
    <row r="218" spans="1:15">
      <c r="A218" t="s">
        <v>296</v>
      </c>
      <c r="B218" t="s">
        <v>61</v>
      </c>
      <c r="C218" t="s">
        <v>58</v>
      </c>
      <c r="D218">
        <v>35</v>
      </c>
      <c r="E218" s="3" t="str">
        <f t="shared" si="22"/>
        <v>Sensitive</v>
      </c>
      <c r="F218">
        <v>9</v>
      </c>
      <c r="G218" s="3" t="str">
        <f t="shared" si="23"/>
        <v>Resistant</v>
      </c>
      <c r="H218">
        <v>16</v>
      </c>
      <c r="I218" t="str">
        <f t="shared" si="24"/>
        <v>Sensitive</v>
      </c>
      <c r="J218">
        <v>10</v>
      </c>
      <c r="K218" t="str">
        <f t="shared" si="25"/>
        <v>Resistant</v>
      </c>
      <c r="L218">
        <v>13</v>
      </c>
      <c r="M218" s="8" t="str">
        <f t="shared" si="26"/>
        <v>Resistant</v>
      </c>
      <c r="N218">
        <f t="shared" si="27"/>
        <v>3</v>
      </c>
      <c r="O218" t="str">
        <f t="shared" si="21"/>
        <v>MDR</v>
      </c>
    </row>
    <row r="219" spans="1:15">
      <c r="A219" t="s">
        <v>297</v>
      </c>
      <c r="B219" t="s">
        <v>61</v>
      </c>
      <c r="C219" t="s">
        <v>58</v>
      </c>
      <c r="D219">
        <v>25</v>
      </c>
      <c r="E219" s="3" t="str">
        <f t="shared" si="22"/>
        <v>Sensitive</v>
      </c>
      <c r="F219">
        <v>0</v>
      </c>
      <c r="G219" s="3" t="str">
        <f t="shared" si="23"/>
        <v>Resistant</v>
      </c>
      <c r="H219">
        <v>22</v>
      </c>
      <c r="I219" t="str">
        <f t="shared" si="24"/>
        <v>Sensitive</v>
      </c>
      <c r="J219">
        <v>18</v>
      </c>
      <c r="K219" t="str">
        <f t="shared" si="25"/>
        <v>Sensitive</v>
      </c>
      <c r="L219">
        <v>18</v>
      </c>
      <c r="M219" s="8" t="str">
        <f t="shared" si="26"/>
        <v>Resistant</v>
      </c>
      <c r="N219">
        <f t="shared" si="27"/>
        <v>2</v>
      </c>
      <c r="O219" t="str">
        <f t="shared" si="21"/>
        <v>Susceptible</v>
      </c>
    </row>
    <row r="220" spans="1:15">
      <c r="A220" t="s">
        <v>298</v>
      </c>
      <c r="B220" t="s">
        <v>61</v>
      </c>
      <c r="C220" t="s">
        <v>58</v>
      </c>
      <c r="D220">
        <v>23</v>
      </c>
      <c r="E220" s="3" t="str">
        <f t="shared" si="22"/>
        <v>Sensitive</v>
      </c>
      <c r="F220">
        <v>0</v>
      </c>
      <c r="G220" s="3" t="str">
        <f t="shared" si="23"/>
        <v>Resistant</v>
      </c>
      <c r="H220">
        <v>20</v>
      </c>
      <c r="I220" t="str">
        <f t="shared" si="24"/>
        <v>Sensitive</v>
      </c>
      <c r="J220">
        <v>15</v>
      </c>
      <c r="K220" t="str">
        <f t="shared" si="25"/>
        <v>Intermediate</v>
      </c>
      <c r="L220">
        <v>23</v>
      </c>
      <c r="M220" s="8" t="str">
        <f t="shared" si="26"/>
        <v>Intermediate</v>
      </c>
      <c r="N220">
        <f t="shared" si="27"/>
        <v>1</v>
      </c>
      <c r="O220" t="str">
        <f t="shared" si="21"/>
        <v>Susceptible</v>
      </c>
    </row>
    <row r="221" spans="1:15">
      <c r="A221" t="s">
        <v>299</v>
      </c>
      <c r="B221" t="s">
        <v>61</v>
      </c>
      <c r="C221" t="s">
        <v>58</v>
      </c>
      <c r="D221">
        <v>22</v>
      </c>
      <c r="E221" s="3" t="str">
        <f t="shared" si="22"/>
        <v>Intermediate</v>
      </c>
      <c r="F221">
        <v>7</v>
      </c>
      <c r="G221" s="3" t="str">
        <f t="shared" si="23"/>
        <v>Resistant</v>
      </c>
      <c r="H221">
        <v>17</v>
      </c>
      <c r="I221" t="str">
        <f t="shared" si="24"/>
        <v>Sensitive</v>
      </c>
      <c r="J221">
        <v>12</v>
      </c>
      <c r="K221" t="str">
        <f t="shared" si="25"/>
        <v>Resistant</v>
      </c>
      <c r="L221">
        <v>18</v>
      </c>
      <c r="M221" s="8" t="str">
        <f t="shared" si="26"/>
        <v>Resistant</v>
      </c>
      <c r="N221">
        <f t="shared" si="27"/>
        <v>3</v>
      </c>
      <c r="O221" t="str">
        <f t="shared" si="21"/>
        <v>MDR</v>
      </c>
    </row>
    <row r="222" spans="1:15">
      <c r="A222" t="s">
        <v>300</v>
      </c>
      <c r="B222" t="s">
        <v>61</v>
      </c>
      <c r="C222" t="s">
        <v>58</v>
      </c>
      <c r="D222">
        <v>24</v>
      </c>
      <c r="E222" s="3" t="str">
        <f t="shared" si="22"/>
        <v>Sensitive</v>
      </c>
      <c r="F222">
        <v>0</v>
      </c>
      <c r="G222" s="3" t="str">
        <f t="shared" si="23"/>
        <v>Resistant</v>
      </c>
      <c r="H222">
        <v>16</v>
      </c>
      <c r="I222" t="str">
        <f t="shared" si="24"/>
        <v>Sensitive</v>
      </c>
      <c r="J222">
        <v>15</v>
      </c>
      <c r="K222" t="str">
        <f t="shared" si="25"/>
        <v>Intermediate</v>
      </c>
      <c r="L222">
        <v>24</v>
      </c>
      <c r="M222" s="8" t="str">
        <f t="shared" si="26"/>
        <v>Intermediate</v>
      </c>
      <c r="N222">
        <f t="shared" si="27"/>
        <v>1</v>
      </c>
      <c r="O222" t="str">
        <f t="shared" si="21"/>
        <v>Susceptible</v>
      </c>
    </row>
    <row r="223" spans="1:15">
      <c r="A223" t="s">
        <v>301</v>
      </c>
      <c r="B223" t="s">
        <v>61</v>
      </c>
      <c r="C223" t="s">
        <v>58</v>
      </c>
      <c r="D223">
        <v>33</v>
      </c>
      <c r="E223" s="3" t="str">
        <f t="shared" si="22"/>
        <v>Sensitive</v>
      </c>
      <c r="F223">
        <v>7</v>
      </c>
      <c r="G223" s="3" t="str">
        <f t="shared" si="23"/>
        <v>Resistant</v>
      </c>
      <c r="H223">
        <v>17</v>
      </c>
      <c r="I223" t="str">
        <f t="shared" si="24"/>
        <v>Sensitive</v>
      </c>
      <c r="J223">
        <v>11</v>
      </c>
      <c r="K223" t="str">
        <f t="shared" si="25"/>
        <v>Resistant</v>
      </c>
      <c r="L223">
        <v>13</v>
      </c>
      <c r="M223" s="8" t="str">
        <f t="shared" si="26"/>
        <v>Resistant</v>
      </c>
      <c r="N223">
        <f t="shared" si="27"/>
        <v>3</v>
      </c>
      <c r="O223" t="str">
        <f t="shared" si="21"/>
        <v>MDR</v>
      </c>
    </row>
    <row r="224" spans="1:15">
      <c r="A224" t="s">
        <v>302</v>
      </c>
      <c r="B224" t="s">
        <v>61</v>
      </c>
      <c r="C224" t="s">
        <v>58</v>
      </c>
      <c r="D224">
        <v>33</v>
      </c>
      <c r="E224" s="3" t="str">
        <f t="shared" si="22"/>
        <v>Sensitive</v>
      </c>
      <c r="F224">
        <v>21</v>
      </c>
      <c r="G224" s="3" t="str">
        <f t="shared" si="23"/>
        <v>Sensitive</v>
      </c>
      <c r="H224">
        <v>19</v>
      </c>
      <c r="I224" t="str">
        <f t="shared" si="24"/>
        <v>Sensitive</v>
      </c>
      <c r="J224">
        <v>21</v>
      </c>
      <c r="K224" t="str">
        <f t="shared" si="25"/>
        <v>Sensitive</v>
      </c>
      <c r="L224">
        <v>25</v>
      </c>
      <c r="M224" s="8" t="str">
        <f t="shared" si="26"/>
        <v>Intermediate</v>
      </c>
      <c r="N224">
        <f t="shared" si="27"/>
        <v>0</v>
      </c>
      <c r="O224" t="str">
        <f t="shared" si="21"/>
        <v>Susceptible</v>
      </c>
    </row>
    <row r="225" spans="1:15">
      <c r="A225" t="s">
        <v>303</v>
      </c>
      <c r="B225" t="s">
        <v>61</v>
      </c>
      <c r="C225" t="s">
        <v>58</v>
      </c>
      <c r="D225">
        <v>30</v>
      </c>
      <c r="E225" s="3" t="str">
        <f t="shared" si="22"/>
        <v>Sensitive</v>
      </c>
      <c r="F225">
        <v>20</v>
      </c>
      <c r="G225" s="3" t="str">
        <f t="shared" si="23"/>
        <v>Intermediate</v>
      </c>
      <c r="H225">
        <v>18</v>
      </c>
      <c r="I225" t="str">
        <f t="shared" si="24"/>
        <v>Sensitive</v>
      </c>
      <c r="J225">
        <v>19</v>
      </c>
      <c r="K225" t="str">
        <f t="shared" si="25"/>
        <v>Sensitive</v>
      </c>
      <c r="L225">
        <v>26</v>
      </c>
      <c r="M225" s="8" t="str">
        <f t="shared" si="26"/>
        <v>Sensitive</v>
      </c>
      <c r="N225">
        <f t="shared" si="27"/>
        <v>0</v>
      </c>
      <c r="O225" t="str">
        <f t="shared" si="21"/>
        <v>Susceptible</v>
      </c>
    </row>
    <row r="226" spans="1:15">
      <c r="A226" t="s">
        <v>304</v>
      </c>
      <c r="B226" t="s">
        <v>61</v>
      </c>
      <c r="C226" t="s">
        <v>58</v>
      </c>
      <c r="D226">
        <v>36</v>
      </c>
      <c r="E226" s="3" t="str">
        <f t="shared" si="22"/>
        <v>Sensitive</v>
      </c>
      <c r="F226">
        <v>12</v>
      </c>
      <c r="G226" s="3" t="str">
        <f t="shared" si="23"/>
        <v>Resistant</v>
      </c>
      <c r="H226">
        <v>21</v>
      </c>
      <c r="I226" t="str">
        <f t="shared" si="24"/>
        <v>Sensitive</v>
      </c>
      <c r="J226">
        <v>20</v>
      </c>
      <c r="K226" t="str">
        <f t="shared" si="25"/>
        <v>Sensitive</v>
      </c>
      <c r="L226">
        <v>19</v>
      </c>
      <c r="M226" s="8" t="str">
        <f t="shared" si="26"/>
        <v>Resistant</v>
      </c>
      <c r="N226">
        <f t="shared" si="27"/>
        <v>2</v>
      </c>
      <c r="O226" t="str">
        <f t="shared" si="21"/>
        <v>Susceptible</v>
      </c>
    </row>
    <row r="227" spans="1:15">
      <c r="A227" t="s">
        <v>305</v>
      </c>
      <c r="B227" t="s">
        <v>61</v>
      </c>
      <c r="C227" t="s">
        <v>58</v>
      </c>
      <c r="D227">
        <v>37</v>
      </c>
      <c r="E227" s="3" t="str">
        <f t="shared" si="22"/>
        <v>Sensitive</v>
      </c>
      <c r="F227">
        <v>25</v>
      </c>
      <c r="G227" s="3" t="str">
        <f t="shared" si="23"/>
        <v>Sensitive</v>
      </c>
      <c r="H227">
        <v>24</v>
      </c>
      <c r="I227" t="str">
        <f t="shared" si="24"/>
        <v>Sensitive</v>
      </c>
      <c r="J227">
        <v>31</v>
      </c>
      <c r="K227" t="str">
        <f t="shared" si="25"/>
        <v>Sensitive</v>
      </c>
      <c r="L227">
        <v>30</v>
      </c>
      <c r="M227" s="8" t="str">
        <f t="shared" si="26"/>
        <v>Sensitive</v>
      </c>
      <c r="N227">
        <f t="shared" si="27"/>
        <v>0</v>
      </c>
      <c r="O227" t="str">
        <f t="shared" si="21"/>
        <v>Susceptible</v>
      </c>
    </row>
    <row r="228" spans="1:15">
      <c r="A228" t="s">
        <v>306</v>
      </c>
      <c r="B228" t="s">
        <v>61</v>
      </c>
      <c r="C228" t="s">
        <v>58</v>
      </c>
      <c r="D228">
        <v>34</v>
      </c>
      <c r="E228" s="3" t="str">
        <f t="shared" si="22"/>
        <v>Sensitive</v>
      </c>
      <c r="F228">
        <v>15</v>
      </c>
      <c r="G228" s="3" t="str">
        <f t="shared" si="23"/>
        <v>Resistant</v>
      </c>
      <c r="H228">
        <v>20</v>
      </c>
      <c r="I228" t="str">
        <f t="shared" si="24"/>
        <v>Sensitive</v>
      </c>
      <c r="J228">
        <v>18</v>
      </c>
      <c r="K228" t="str">
        <f t="shared" si="25"/>
        <v>Sensitive</v>
      </c>
      <c r="L228">
        <v>22</v>
      </c>
      <c r="M228" s="8" t="str">
        <f t="shared" si="26"/>
        <v>Intermediate</v>
      </c>
      <c r="N228">
        <f t="shared" si="27"/>
        <v>1</v>
      </c>
      <c r="O228" t="str">
        <f t="shared" si="21"/>
        <v>Susceptible</v>
      </c>
    </row>
    <row r="229" spans="1:15">
      <c r="A229" t="s">
        <v>307</v>
      </c>
      <c r="B229" t="s">
        <v>61</v>
      </c>
      <c r="C229" t="s">
        <v>58</v>
      </c>
      <c r="D229">
        <v>30</v>
      </c>
      <c r="E229" s="3" t="str">
        <f t="shared" si="22"/>
        <v>Sensitive</v>
      </c>
      <c r="F229">
        <v>19</v>
      </c>
      <c r="G229" s="3" t="str">
        <f t="shared" si="23"/>
        <v>Intermediate</v>
      </c>
      <c r="H229">
        <v>20</v>
      </c>
      <c r="I229" t="str">
        <f t="shared" si="24"/>
        <v>Sensitive</v>
      </c>
      <c r="J229">
        <v>18</v>
      </c>
      <c r="K229" t="str">
        <f t="shared" si="25"/>
        <v>Sensitive</v>
      </c>
      <c r="L229">
        <v>22</v>
      </c>
      <c r="M229" s="8" t="str">
        <f t="shared" si="26"/>
        <v>Intermediate</v>
      </c>
      <c r="N229">
        <f t="shared" si="27"/>
        <v>0</v>
      </c>
      <c r="O229" t="str">
        <f t="shared" si="21"/>
        <v>Susceptible</v>
      </c>
    </row>
    <row r="230" spans="1:15">
      <c r="A230" t="s">
        <v>308</v>
      </c>
      <c r="B230" t="s">
        <v>61</v>
      </c>
      <c r="C230" t="s">
        <v>58</v>
      </c>
      <c r="D230">
        <v>37</v>
      </c>
      <c r="E230" s="3" t="str">
        <f t="shared" si="22"/>
        <v>Sensitive</v>
      </c>
      <c r="F230">
        <v>10</v>
      </c>
      <c r="G230" s="3" t="str">
        <f t="shared" si="23"/>
        <v>Resistant</v>
      </c>
      <c r="H230">
        <v>12</v>
      </c>
      <c r="I230" t="str">
        <f t="shared" si="24"/>
        <v>Resistant</v>
      </c>
      <c r="J230">
        <v>9</v>
      </c>
      <c r="K230" t="str">
        <f t="shared" si="25"/>
        <v>Resistant</v>
      </c>
      <c r="L230">
        <v>13</v>
      </c>
      <c r="M230" s="8" t="str">
        <f t="shared" si="26"/>
        <v>Resistant</v>
      </c>
      <c r="N230">
        <f t="shared" si="27"/>
        <v>4</v>
      </c>
      <c r="O230" t="str">
        <f t="shared" si="21"/>
        <v>XDR</v>
      </c>
    </row>
    <row r="231" spans="1:15">
      <c r="A231" t="s">
        <v>309</v>
      </c>
      <c r="B231" t="s">
        <v>61</v>
      </c>
      <c r="C231" t="s">
        <v>58</v>
      </c>
      <c r="D231">
        <v>30</v>
      </c>
      <c r="E231" s="3" t="str">
        <f t="shared" si="22"/>
        <v>Sensitive</v>
      </c>
      <c r="F231">
        <v>17</v>
      </c>
      <c r="G231" s="3" t="str">
        <f t="shared" si="23"/>
        <v>Resistant</v>
      </c>
      <c r="H231">
        <v>20</v>
      </c>
      <c r="I231" t="str">
        <f t="shared" si="24"/>
        <v>Sensitive</v>
      </c>
      <c r="J231">
        <v>25</v>
      </c>
      <c r="K231" t="str">
        <f t="shared" si="25"/>
        <v>Sensitive</v>
      </c>
      <c r="L231">
        <v>24</v>
      </c>
      <c r="M231" s="8" t="str">
        <f t="shared" si="26"/>
        <v>Intermediate</v>
      </c>
      <c r="N231">
        <f t="shared" si="27"/>
        <v>1</v>
      </c>
      <c r="O231" t="str">
        <f t="shared" si="21"/>
        <v>Susceptible</v>
      </c>
    </row>
    <row r="232" spans="1:15">
      <c r="A232" t="s">
        <v>310</v>
      </c>
      <c r="B232" t="s">
        <v>61</v>
      </c>
      <c r="C232" t="s">
        <v>58</v>
      </c>
      <c r="D232">
        <v>31</v>
      </c>
      <c r="E232" s="3" t="str">
        <f t="shared" si="22"/>
        <v>Sensitive</v>
      </c>
      <c r="F232">
        <v>17</v>
      </c>
      <c r="G232" s="3" t="str">
        <f t="shared" si="23"/>
        <v>Resistant</v>
      </c>
      <c r="H232">
        <v>20</v>
      </c>
      <c r="I232" t="str">
        <f t="shared" si="24"/>
        <v>Sensitive</v>
      </c>
      <c r="J232">
        <v>9</v>
      </c>
      <c r="K232" t="str">
        <f t="shared" si="25"/>
        <v>Resistant</v>
      </c>
      <c r="L232">
        <v>23</v>
      </c>
      <c r="M232" s="8" t="str">
        <f t="shared" si="26"/>
        <v>Intermediate</v>
      </c>
      <c r="N232">
        <f t="shared" si="27"/>
        <v>2</v>
      </c>
      <c r="O232" t="str">
        <f t="shared" si="21"/>
        <v>Susceptible</v>
      </c>
    </row>
    <row r="233" spans="1:15">
      <c r="A233" t="s">
        <v>311</v>
      </c>
      <c r="B233" t="s">
        <v>61</v>
      </c>
      <c r="C233" t="s">
        <v>58</v>
      </c>
      <c r="D233">
        <v>25</v>
      </c>
      <c r="E233" s="3" t="str">
        <f t="shared" si="22"/>
        <v>Sensitive</v>
      </c>
      <c r="F233">
        <v>0</v>
      </c>
      <c r="G233" s="3" t="str">
        <f t="shared" si="23"/>
        <v>Resistant</v>
      </c>
      <c r="H233">
        <v>18</v>
      </c>
      <c r="I233" t="str">
        <f t="shared" si="24"/>
        <v>Sensitive</v>
      </c>
      <c r="J233">
        <v>15</v>
      </c>
      <c r="K233" t="str">
        <f t="shared" si="25"/>
        <v>Intermediate</v>
      </c>
      <c r="L233">
        <v>24</v>
      </c>
      <c r="M233" s="8" t="str">
        <f t="shared" si="26"/>
        <v>Intermediate</v>
      </c>
      <c r="N233">
        <f t="shared" si="27"/>
        <v>1</v>
      </c>
      <c r="O233" t="str">
        <f t="shared" si="21"/>
        <v>Susceptible</v>
      </c>
    </row>
    <row r="234" spans="1:15">
      <c r="A234" t="s">
        <v>312</v>
      </c>
      <c r="B234" t="s">
        <v>61</v>
      </c>
      <c r="C234" t="s">
        <v>60</v>
      </c>
      <c r="D234">
        <v>28</v>
      </c>
      <c r="E234" s="3" t="str">
        <f t="shared" si="22"/>
        <v>Sensitive</v>
      </c>
      <c r="F234">
        <v>0</v>
      </c>
      <c r="G234" s="3" t="str">
        <f t="shared" si="23"/>
        <v>Resistant</v>
      </c>
      <c r="H234">
        <v>0</v>
      </c>
      <c r="I234" t="str">
        <f t="shared" si="24"/>
        <v>Resistant</v>
      </c>
      <c r="J234">
        <v>10</v>
      </c>
      <c r="K234" t="str">
        <f t="shared" si="25"/>
        <v>Resistant</v>
      </c>
      <c r="L234">
        <v>20</v>
      </c>
      <c r="M234" s="8" t="str">
        <f t="shared" si="26"/>
        <v>Resistant</v>
      </c>
      <c r="N234">
        <f t="shared" si="27"/>
        <v>4</v>
      </c>
      <c r="O234" t="str">
        <f t="shared" si="21"/>
        <v>XDR</v>
      </c>
    </row>
    <row r="235" spans="1:15">
      <c r="A235" t="s">
        <v>313</v>
      </c>
      <c r="B235" t="s">
        <v>61</v>
      </c>
      <c r="C235" t="s">
        <v>60</v>
      </c>
      <c r="D235">
        <v>25</v>
      </c>
      <c r="E235" s="3" t="str">
        <f t="shared" si="22"/>
        <v>Sensitive</v>
      </c>
      <c r="F235">
        <v>20</v>
      </c>
      <c r="G235" s="3" t="str">
        <f t="shared" si="23"/>
        <v>Intermediate</v>
      </c>
      <c r="H235">
        <v>0</v>
      </c>
      <c r="I235" t="str">
        <f t="shared" si="24"/>
        <v>Resistant</v>
      </c>
      <c r="J235">
        <v>10</v>
      </c>
      <c r="K235" t="str">
        <f t="shared" si="25"/>
        <v>Resistant</v>
      </c>
      <c r="L235">
        <v>20</v>
      </c>
      <c r="M235" s="8" t="str">
        <f t="shared" si="26"/>
        <v>Resistant</v>
      </c>
      <c r="N235">
        <f t="shared" si="27"/>
        <v>3</v>
      </c>
      <c r="O235" t="str">
        <f t="shared" si="21"/>
        <v>MDR</v>
      </c>
    </row>
    <row r="236" spans="1:15">
      <c r="A236" t="s">
        <v>314</v>
      </c>
      <c r="B236" t="s">
        <v>61</v>
      </c>
      <c r="C236" t="s">
        <v>60</v>
      </c>
      <c r="D236">
        <v>32</v>
      </c>
      <c r="E236" s="3" t="str">
        <f t="shared" si="22"/>
        <v>Sensitive</v>
      </c>
      <c r="F236">
        <v>0</v>
      </c>
      <c r="G236" s="3" t="str">
        <f t="shared" si="23"/>
        <v>Resistant</v>
      </c>
      <c r="H236">
        <v>15</v>
      </c>
      <c r="I236" t="str">
        <f t="shared" si="24"/>
        <v>Sensitive</v>
      </c>
      <c r="J236">
        <v>10</v>
      </c>
      <c r="K236" t="str">
        <f t="shared" si="25"/>
        <v>Resistant</v>
      </c>
      <c r="L236">
        <v>20</v>
      </c>
      <c r="M236" s="8" t="str">
        <f t="shared" si="26"/>
        <v>Resistant</v>
      </c>
      <c r="N236">
        <f t="shared" si="27"/>
        <v>3</v>
      </c>
      <c r="O236" t="str">
        <f t="shared" si="21"/>
        <v>MDR</v>
      </c>
    </row>
    <row r="237" spans="1:15">
      <c r="A237" t="s">
        <v>315</v>
      </c>
      <c r="B237" t="s">
        <v>61</v>
      </c>
      <c r="C237" t="s">
        <v>60</v>
      </c>
      <c r="D237">
        <v>24</v>
      </c>
      <c r="E237" s="3" t="str">
        <f t="shared" si="22"/>
        <v>Sensitive</v>
      </c>
      <c r="F237">
        <v>18</v>
      </c>
      <c r="G237" s="3" t="str">
        <f t="shared" si="23"/>
        <v>Intermediate</v>
      </c>
      <c r="H237">
        <v>20</v>
      </c>
      <c r="I237" t="str">
        <f t="shared" si="24"/>
        <v>Sensitive</v>
      </c>
      <c r="J237">
        <v>0</v>
      </c>
      <c r="K237" t="str">
        <f t="shared" si="25"/>
        <v>Resistant</v>
      </c>
      <c r="L237">
        <v>25</v>
      </c>
      <c r="M237" s="8" t="str">
        <f t="shared" si="26"/>
        <v>Intermediate</v>
      </c>
      <c r="N237">
        <f t="shared" si="27"/>
        <v>1</v>
      </c>
      <c r="O237" t="str">
        <f t="shared" si="21"/>
        <v>Susceptible</v>
      </c>
    </row>
    <row r="238" spans="1:15">
      <c r="A238" t="s">
        <v>316</v>
      </c>
      <c r="B238" t="s">
        <v>61</v>
      </c>
      <c r="C238" t="s">
        <v>60</v>
      </c>
      <c r="D238">
        <v>28</v>
      </c>
      <c r="E238" s="3" t="str">
        <f t="shared" si="22"/>
        <v>Sensitive</v>
      </c>
      <c r="F238">
        <v>20</v>
      </c>
      <c r="G238" s="3" t="str">
        <f t="shared" si="23"/>
        <v>Intermediate</v>
      </c>
      <c r="H238">
        <v>7</v>
      </c>
      <c r="I238" t="str">
        <f t="shared" si="24"/>
        <v>Resistant</v>
      </c>
      <c r="J238">
        <v>10</v>
      </c>
      <c r="K238" t="str">
        <f t="shared" si="25"/>
        <v>Resistant</v>
      </c>
      <c r="L238">
        <v>0</v>
      </c>
      <c r="M238" s="8" t="str">
        <f t="shared" si="26"/>
        <v>Resistant</v>
      </c>
      <c r="N238">
        <f t="shared" si="27"/>
        <v>3</v>
      </c>
      <c r="O238" t="str">
        <f t="shared" si="21"/>
        <v>MDR</v>
      </c>
    </row>
    <row r="239" spans="1:15">
      <c r="A239" t="s">
        <v>317</v>
      </c>
      <c r="B239" t="s">
        <v>61</v>
      </c>
      <c r="C239" t="s">
        <v>60</v>
      </c>
      <c r="D239">
        <v>25</v>
      </c>
      <c r="E239" s="3" t="str">
        <f t="shared" si="22"/>
        <v>Sensitive</v>
      </c>
      <c r="F239">
        <v>0</v>
      </c>
      <c r="G239" s="3" t="str">
        <f t="shared" si="23"/>
        <v>Resistant</v>
      </c>
      <c r="H239">
        <v>15</v>
      </c>
      <c r="I239" t="str">
        <f t="shared" si="24"/>
        <v>Sensitive</v>
      </c>
      <c r="J239">
        <v>10</v>
      </c>
      <c r="K239" t="str">
        <f t="shared" si="25"/>
        <v>Resistant</v>
      </c>
      <c r="L239">
        <v>20</v>
      </c>
      <c r="M239" s="8" t="str">
        <f t="shared" si="26"/>
        <v>Resistant</v>
      </c>
      <c r="N239">
        <f t="shared" si="27"/>
        <v>3</v>
      </c>
      <c r="O239" t="str">
        <f t="shared" si="21"/>
        <v>MDR</v>
      </c>
    </row>
    <row r="240" spans="1:15">
      <c r="A240" t="s">
        <v>318</v>
      </c>
      <c r="B240" t="s">
        <v>61</v>
      </c>
      <c r="C240" t="s">
        <v>60</v>
      </c>
      <c r="D240">
        <v>25</v>
      </c>
      <c r="E240" s="3" t="str">
        <f t="shared" si="22"/>
        <v>Sensitive</v>
      </c>
      <c r="F240">
        <v>0</v>
      </c>
      <c r="G240" s="3" t="str">
        <f t="shared" si="23"/>
        <v>Resistant</v>
      </c>
      <c r="H240">
        <v>20</v>
      </c>
      <c r="I240" t="str">
        <f t="shared" si="24"/>
        <v>Sensitive</v>
      </c>
      <c r="J240">
        <v>15</v>
      </c>
      <c r="K240" t="str">
        <f t="shared" si="25"/>
        <v>Intermediate</v>
      </c>
      <c r="L240">
        <v>20</v>
      </c>
      <c r="M240" s="8" t="str">
        <f t="shared" si="26"/>
        <v>Resistant</v>
      </c>
      <c r="N240">
        <f t="shared" si="27"/>
        <v>2</v>
      </c>
      <c r="O240" t="str">
        <f t="shared" si="21"/>
        <v>Susceptible</v>
      </c>
    </row>
    <row r="241" spans="1:15">
      <c r="A241" t="s">
        <v>319</v>
      </c>
      <c r="B241" t="s">
        <v>61</v>
      </c>
      <c r="C241" t="s">
        <v>60</v>
      </c>
      <c r="D241">
        <v>25</v>
      </c>
      <c r="E241" s="3" t="str">
        <f t="shared" si="22"/>
        <v>Sensitive</v>
      </c>
      <c r="F241">
        <v>0</v>
      </c>
      <c r="G241" s="3" t="str">
        <f t="shared" si="23"/>
        <v>Resistant</v>
      </c>
      <c r="H241">
        <v>20</v>
      </c>
      <c r="I241" t="str">
        <f t="shared" si="24"/>
        <v>Sensitive</v>
      </c>
      <c r="J241">
        <v>10</v>
      </c>
      <c r="K241" t="str">
        <f t="shared" si="25"/>
        <v>Resistant</v>
      </c>
      <c r="L241">
        <v>0</v>
      </c>
      <c r="M241" s="8" t="str">
        <f t="shared" si="26"/>
        <v>Resistant</v>
      </c>
      <c r="N241">
        <f t="shared" si="27"/>
        <v>3</v>
      </c>
      <c r="O241" t="str">
        <f t="shared" si="21"/>
        <v>MDR</v>
      </c>
    </row>
    <row r="242" spans="1:15">
      <c r="A242" t="s">
        <v>320</v>
      </c>
      <c r="B242" t="s">
        <v>61</v>
      </c>
      <c r="C242" t="s">
        <v>60</v>
      </c>
      <c r="D242">
        <v>25</v>
      </c>
      <c r="E242" s="3" t="str">
        <f t="shared" si="22"/>
        <v>Sensitive</v>
      </c>
      <c r="F242">
        <v>12</v>
      </c>
      <c r="G242" s="3" t="str">
        <f t="shared" si="23"/>
        <v>Resistant</v>
      </c>
      <c r="H242">
        <v>9</v>
      </c>
      <c r="I242" t="str">
        <f t="shared" si="24"/>
        <v>Resistant</v>
      </c>
      <c r="J242">
        <v>0</v>
      </c>
      <c r="K242" t="str">
        <f t="shared" si="25"/>
        <v>Resistant</v>
      </c>
      <c r="L242">
        <v>0</v>
      </c>
      <c r="M242" s="8" t="str">
        <f t="shared" si="26"/>
        <v>Resistant</v>
      </c>
      <c r="N242">
        <f t="shared" si="27"/>
        <v>4</v>
      </c>
      <c r="O242" t="str">
        <f t="shared" si="21"/>
        <v>XDR</v>
      </c>
    </row>
    <row r="243" spans="1:15">
      <c r="A243" t="s">
        <v>321</v>
      </c>
      <c r="B243" t="s">
        <v>61</v>
      </c>
      <c r="C243" t="s">
        <v>60</v>
      </c>
      <c r="D243">
        <v>25</v>
      </c>
      <c r="E243" s="3" t="str">
        <f t="shared" si="22"/>
        <v>Sensitive</v>
      </c>
      <c r="F243">
        <v>20</v>
      </c>
      <c r="G243" s="3" t="str">
        <f t="shared" si="23"/>
        <v>Intermediate</v>
      </c>
      <c r="H243">
        <v>15</v>
      </c>
      <c r="I243" t="str">
        <f t="shared" si="24"/>
        <v>Sensitive</v>
      </c>
      <c r="J243">
        <v>7</v>
      </c>
      <c r="K243" t="str">
        <f t="shared" si="25"/>
        <v>Resistant</v>
      </c>
      <c r="L243">
        <v>20</v>
      </c>
      <c r="M243" s="8" t="str">
        <f t="shared" si="26"/>
        <v>Resistant</v>
      </c>
      <c r="N243">
        <f t="shared" si="27"/>
        <v>2</v>
      </c>
      <c r="O243" t="str">
        <f t="shared" si="21"/>
        <v>Susceptible</v>
      </c>
    </row>
    <row r="244" spans="1:15">
      <c r="A244" t="s">
        <v>322</v>
      </c>
      <c r="B244" t="s">
        <v>61</v>
      </c>
      <c r="C244" t="s">
        <v>60</v>
      </c>
      <c r="D244">
        <v>25</v>
      </c>
      <c r="E244" s="3" t="str">
        <f t="shared" si="22"/>
        <v>Sensitive</v>
      </c>
      <c r="F244">
        <v>0</v>
      </c>
      <c r="G244" s="3" t="str">
        <f t="shared" si="23"/>
        <v>Resistant</v>
      </c>
      <c r="H244">
        <v>20</v>
      </c>
      <c r="I244" t="str">
        <f t="shared" si="24"/>
        <v>Sensitive</v>
      </c>
      <c r="J244">
        <v>20</v>
      </c>
      <c r="K244" t="str">
        <f t="shared" si="25"/>
        <v>Sensitive</v>
      </c>
      <c r="L244">
        <v>20</v>
      </c>
      <c r="M244" s="8" t="str">
        <f t="shared" si="26"/>
        <v>Resistant</v>
      </c>
      <c r="N244">
        <f t="shared" si="27"/>
        <v>2</v>
      </c>
      <c r="O244" t="str">
        <f t="shared" si="21"/>
        <v>Susceptible</v>
      </c>
    </row>
    <row r="245" spans="1:15">
      <c r="A245" t="s">
        <v>323</v>
      </c>
      <c r="B245" t="s">
        <v>61</v>
      </c>
      <c r="C245" t="s">
        <v>60</v>
      </c>
      <c r="D245">
        <v>20</v>
      </c>
      <c r="E245" s="3" t="str">
        <f t="shared" si="22"/>
        <v>Intermediate</v>
      </c>
      <c r="F245">
        <v>0</v>
      </c>
      <c r="G245" s="3" t="str">
        <f t="shared" si="23"/>
        <v>Resistant</v>
      </c>
      <c r="H245">
        <v>25</v>
      </c>
      <c r="I245" t="str">
        <f t="shared" si="24"/>
        <v>Sensitive</v>
      </c>
      <c r="J245">
        <v>15</v>
      </c>
      <c r="K245" t="str">
        <f t="shared" si="25"/>
        <v>Intermediate</v>
      </c>
      <c r="L245">
        <v>22</v>
      </c>
      <c r="M245" s="8" t="str">
        <f t="shared" si="26"/>
        <v>Intermediate</v>
      </c>
      <c r="N245">
        <f t="shared" si="27"/>
        <v>1</v>
      </c>
      <c r="O245" t="str">
        <f t="shared" si="21"/>
        <v>Susceptible</v>
      </c>
    </row>
    <row r="246" spans="1:15">
      <c r="A246" t="s">
        <v>324</v>
      </c>
      <c r="B246" t="s">
        <v>61</v>
      </c>
      <c r="C246" t="s">
        <v>60</v>
      </c>
      <c r="D246">
        <v>30</v>
      </c>
      <c r="E246" s="3" t="str">
        <f t="shared" si="22"/>
        <v>Sensitive</v>
      </c>
      <c r="F246">
        <v>0</v>
      </c>
      <c r="G246" s="3" t="str">
        <f t="shared" si="23"/>
        <v>Resistant</v>
      </c>
      <c r="H246">
        <v>20</v>
      </c>
      <c r="I246" t="str">
        <f t="shared" si="24"/>
        <v>Sensitive</v>
      </c>
      <c r="J246">
        <v>12</v>
      </c>
      <c r="K246" t="str">
        <f t="shared" si="25"/>
        <v>Resistant</v>
      </c>
      <c r="L246">
        <v>22</v>
      </c>
      <c r="M246" s="8" t="str">
        <f t="shared" si="26"/>
        <v>Intermediate</v>
      </c>
      <c r="N246">
        <f t="shared" si="27"/>
        <v>2</v>
      </c>
      <c r="O246" t="str">
        <f t="shared" si="21"/>
        <v>Susceptible</v>
      </c>
    </row>
    <row r="247" spans="1:15">
      <c r="A247" t="s">
        <v>325</v>
      </c>
      <c r="B247" t="s">
        <v>61</v>
      </c>
      <c r="C247" t="s">
        <v>60</v>
      </c>
      <c r="D247">
        <v>25</v>
      </c>
      <c r="E247" s="3" t="str">
        <f t="shared" si="22"/>
        <v>Sensitive</v>
      </c>
      <c r="F247">
        <v>25</v>
      </c>
      <c r="G247" s="3" t="str">
        <f t="shared" si="23"/>
        <v>Sensitive</v>
      </c>
      <c r="H247">
        <v>30</v>
      </c>
      <c r="I247" t="str">
        <f t="shared" si="24"/>
        <v>Sensitive</v>
      </c>
      <c r="J247">
        <v>10</v>
      </c>
      <c r="K247" t="str">
        <f t="shared" si="25"/>
        <v>Resistant</v>
      </c>
      <c r="L247">
        <v>25</v>
      </c>
      <c r="M247" s="8" t="str">
        <f t="shared" si="26"/>
        <v>Intermediate</v>
      </c>
      <c r="N247">
        <f t="shared" si="27"/>
        <v>1</v>
      </c>
      <c r="O247" t="str">
        <f t="shared" si="21"/>
        <v>Susceptible</v>
      </c>
    </row>
    <row r="248" spans="1:15">
      <c r="A248" t="s">
        <v>326</v>
      </c>
      <c r="B248" t="s">
        <v>61</v>
      </c>
      <c r="C248" t="s">
        <v>60</v>
      </c>
      <c r="D248">
        <v>25</v>
      </c>
      <c r="E248" s="3" t="str">
        <f t="shared" si="22"/>
        <v>Sensitive</v>
      </c>
      <c r="F248">
        <v>0</v>
      </c>
      <c r="G248" s="3" t="str">
        <f t="shared" si="23"/>
        <v>Resistant</v>
      </c>
      <c r="H248">
        <v>0</v>
      </c>
      <c r="I248" t="str">
        <f t="shared" si="24"/>
        <v>Resistant</v>
      </c>
      <c r="J248">
        <v>15</v>
      </c>
      <c r="K248" t="str">
        <f t="shared" si="25"/>
        <v>Intermediate</v>
      </c>
      <c r="L248">
        <v>10</v>
      </c>
      <c r="M248" s="8" t="str">
        <f t="shared" si="26"/>
        <v>Resistant</v>
      </c>
      <c r="N248">
        <f t="shared" si="27"/>
        <v>3</v>
      </c>
      <c r="O248" t="str">
        <f t="shared" si="21"/>
        <v>MDR</v>
      </c>
    </row>
    <row r="249" spans="1:15">
      <c r="A249" t="s">
        <v>327</v>
      </c>
      <c r="B249" t="s">
        <v>61</v>
      </c>
      <c r="C249" t="s">
        <v>60</v>
      </c>
      <c r="D249">
        <v>30</v>
      </c>
      <c r="E249" s="3" t="str">
        <f t="shared" si="22"/>
        <v>Sensitive</v>
      </c>
      <c r="F249">
        <v>0</v>
      </c>
      <c r="G249" s="3" t="str">
        <f t="shared" si="23"/>
        <v>Resistant</v>
      </c>
      <c r="H249">
        <v>17</v>
      </c>
      <c r="I249" t="str">
        <f t="shared" si="24"/>
        <v>Sensitive</v>
      </c>
      <c r="J249">
        <v>12</v>
      </c>
      <c r="K249" t="str">
        <f t="shared" si="25"/>
        <v>Resistant</v>
      </c>
      <c r="L249">
        <v>28</v>
      </c>
      <c r="M249" s="8" t="str">
        <f t="shared" si="26"/>
        <v>Sensitive</v>
      </c>
      <c r="N249">
        <f t="shared" si="27"/>
        <v>2</v>
      </c>
      <c r="O249" t="str">
        <f t="shared" si="21"/>
        <v>Susceptible</v>
      </c>
    </row>
    <row r="250" spans="1:15">
      <c r="A250" t="s">
        <v>328</v>
      </c>
      <c r="B250" t="s">
        <v>61</v>
      </c>
      <c r="C250" t="s">
        <v>60</v>
      </c>
      <c r="D250">
        <v>35</v>
      </c>
      <c r="E250" s="3" t="str">
        <f t="shared" si="22"/>
        <v>Sensitive</v>
      </c>
      <c r="F250">
        <v>19</v>
      </c>
      <c r="G250" s="3" t="str">
        <f t="shared" si="23"/>
        <v>Intermediate</v>
      </c>
      <c r="H250">
        <v>25</v>
      </c>
      <c r="I250" t="str">
        <f t="shared" si="24"/>
        <v>Sensitive</v>
      </c>
      <c r="J250">
        <v>27</v>
      </c>
      <c r="K250" t="str">
        <f t="shared" si="25"/>
        <v>Sensitive</v>
      </c>
      <c r="L250">
        <v>25</v>
      </c>
      <c r="M250" s="8" t="str">
        <f t="shared" si="26"/>
        <v>Intermediate</v>
      </c>
      <c r="N250">
        <f t="shared" si="27"/>
        <v>0</v>
      </c>
      <c r="O250" t="str">
        <f t="shared" si="21"/>
        <v>Susceptible</v>
      </c>
    </row>
    <row r="251" spans="1:15">
      <c r="A251" t="s">
        <v>329</v>
      </c>
      <c r="B251" t="s">
        <v>61</v>
      </c>
      <c r="C251" t="s">
        <v>60</v>
      </c>
      <c r="D251">
        <v>32</v>
      </c>
      <c r="E251" s="3" t="str">
        <f t="shared" si="22"/>
        <v>Sensitive</v>
      </c>
      <c r="F251">
        <v>9</v>
      </c>
      <c r="G251" s="3" t="str">
        <f t="shared" si="23"/>
        <v>Resistant</v>
      </c>
      <c r="H251">
        <v>25</v>
      </c>
      <c r="I251" t="str">
        <f t="shared" si="24"/>
        <v>Sensitive</v>
      </c>
      <c r="J251">
        <v>10</v>
      </c>
      <c r="K251" t="str">
        <f t="shared" si="25"/>
        <v>Resistant</v>
      </c>
      <c r="L251">
        <v>25</v>
      </c>
      <c r="M251" s="8" t="str">
        <f t="shared" si="26"/>
        <v>Intermediate</v>
      </c>
      <c r="N251">
        <f t="shared" si="27"/>
        <v>2</v>
      </c>
      <c r="O251" t="str">
        <f t="shared" si="21"/>
        <v>Susceptible</v>
      </c>
    </row>
    <row r="252" spans="1:15">
      <c r="A252" t="s">
        <v>330</v>
      </c>
      <c r="B252" t="s">
        <v>61</v>
      </c>
      <c r="C252" t="s">
        <v>60</v>
      </c>
      <c r="D252">
        <v>23</v>
      </c>
      <c r="E252" s="3" t="str">
        <f t="shared" si="22"/>
        <v>Sensitive</v>
      </c>
      <c r="F252">
        <v>0</v>
      </c>
      <c r="G252" s="3" t="str">
        <f t="shared" si="23"/>
        <v>Resistant</v>
      </c>
      <c r="H252">
        <v>20</v>
      </c>
      <c r="I252" t="str">
        <f t="shared" si="24"/>
        <v>Sensitive</v>
      </c>
      <c r="J252">
        <v>15</v>
      </c>
      <c r="K252" t="str">
        <f t="shared" si="25"/>
        <v>Intermediate</v>
      </c>
      <c r="L252">
        <v>23</v>
      </c>
      <c r="M252" s="8" t="str">
        <f t="shared" si="26"/>
        <v>Intermediate</v>
      </c>
      <c r="N252">
        <f t="shared" si="27"/>
        <v>1</v>
      </c>
      <c r="O252" t="str">
        <f t="shared" si="21"/>
        <v>Susceptible</v>
      </c>
    </row>
    <row r="253" spans="1:15">
      <c r="A253" t="s">
        <v>331</v>
      </c>
      <c r="B253" t="s">
        <v>61</v>
      </c>
      <c r="C253" t="s">
        <v>60</v>
      </c>
      <c r="D253">
        <v>20</v>
      </c>
      <c r="E253" s="3" t="str">
        <f t="shared" si="22"/>
        <v>Intermediate</v>
      </c>
      <c r="F253">
        <v>20</v>
      </c>
      <c r="G253" s="3" t="str">
        <f t="shared" si="23"/>
        <v>Intermediate</v>
      </c>
      <c r="H253">
        <v>18</v>
      </c>
      <c r="I253" t="str">
        <f t="shared" si="24"/>
        <v>Sensitive</v>
      </c>
      <c r="J253">
        <v>0</v>
      </c>
      <c r="K253" t="str">
        <f t="shared" si="25"/>
        <v>Resistant</v>
      </c>
      <c r="L253">
        <v>25</v>
      </c>
      <c r="M253" s="8" t="str">
        <f t="shared" si="26"/>
        <v>Intermediate</v>
      </c>
      <c r="N253">
        <f t="shared" si="27"/>
        <v>1</v>
      </c>
      <c r="O253" t="str">
        <f t="shared" si="21"/>
        <v>Susceptible</v>
      </c>
    </row>
    <row r="254" spans="1:15">
      <c r="A254" t="s">
        <v>332</v>
      </c>
      <c r="B254" t="s">
        <v>61</v>
      </c>
      <c r="C254" t="s">
        <v>60</v>
      </c>
      <c r="D254">
        <v>20</v>
      </c>
      <c r="E254" s="3" t="str">
        <f t="shared" si="22"/>
        <v>Intermediate</v>
      </c>
      <c r="F254">
        <v>20</v>
      </c>
      <c r="G254" s="3" t="str">
        <f t="shared" si="23"/>
        <v>Intermediate</v>
      </c>
      <c r="H254">
        <v>20</v>
      </c>
      <c r="I254" t="str">
        <f t="shared" si="24"/>
        <v>Sensitive</v>
      </c>
      <c r="J254">
        <v>0</v>
      </c>
      <c r="K254" t="str">
        <f t="shared" si="25"/>
        <v>Resistant</v>
      </c>
      <c r="L254">
        <v>28</v>
      </c>
      <c r="M254" s="8" t="str">
        <f t="shared" si="26"/>
        <v>Sensitive</v>
      </c>
      <c r="N254">
        <f t="shared" si="27"/>
        <v>1</v>
      </c>
      <c r="O254" t="str">
        <f t="shared" si="21"/>
        <v>Susceptible</v>
      </c>
    </row>
    <row r="255" spans="1:15">
      <c r="A255" t="s">
        <v>333</v>
      </c>
      <c r="B255" t="s">
        <v>61</v>
      </c>
      <c r="C255" s="14" t="s">
        <v>59</v>
      </c>
      <c r="D255">
        <v>20</v>
      </c>
      <c r="E255" s="3" t="str">
        <f t="shared" si="22"/>
        <v>Intermediate</v>
      </c>
      <c r="F255">
        <v>0</v>
      </c>
      <c r="G255" s="3" t="str">
        <f t="shared" si="23"/>
        <v>Resistant</v>
      </c>
      <c r="H255">
        <v>18</v>
      </c>
      <c r="I255" t="str">
        <f t="shared" si="24"/>
        <v>Sensitive</v>
      </c>
      <c r="J255">
        <v>7</v>
      </c>
      <c r="K255" t="str">
        <f t="shared" si="25"/>
        <v>Resistant</v>
      </c>
      <c r="L255">
        <v>28</v>
      </c>
      <c r="M255" s="8" t="str">
        <f t="shared" si="26"/>
        <v>Sensitive</v>
      </c>
      <c r="N255">
        <f t="shared" si="27"/>
        <v>2</v>
      </c>
      <c r="O255" t="str">
        <f t="shared" si="21"/>
        <v>Susceptible</v>
      </c>
    </row>
    <row r="256" spans="1:15">
      <c r="A256" t="s">
        <v>334</v>
      </c>
      <c r="B256" t="s">
        <v>61</v>
      </c>
      <c r="C256" s="14" t="s">
        <v>59</v>
      </c>
      <c r="D256">
        <v>27</v>
      </c>
      <c r="E256" s="3" t="str">
        <f t="shared" si="22"/>
        <v>Sensitive</v>
      </c>
      <c r="F256">
        <v>0</v>
      </c>
      <c r="G256" s="3" t="str">
        <f t="shared" si="23"/>
        <v>Resistant</v>
      </c>
      <c r="H256">
        <v>20</v>
      </c>
      <c r="I256" t="str">
        <f t="shared" si="24"/>
        <v>Sensitive</v>
      </c>
      <c r="J256">
        <v>7</v>
      </c>
      <c r="K256" t="str">
        <f t="shared" si="25"/>
        <v>Resistant</v>
      </c>
      <c r="L256">
        <v>23</v>
      </c>
      <c r="M256" s="8" t="str">
        <f t="shared" si="26"/>
        <v>Intermediate</v>
      </c>
      <c r="N256">
        <f t="shared" si="27"/>
        <v>2</v>
      </c>
      <c r="O256" t="str">
        <f t="shared" si="21"/>
        <v>Susceptible</v>
      </c>
    </row>
    <row r="257" spans="1:15">
      <c r="A257" t="s">
        <v>335</v>
      </c>
      <c r="B257" t="s">
        <v>61</v>
      </c>
      <c r="C257" s="14" t="s">
        <v>59</v>
      </c>
      <c r="D257">
        <v>32</v>
      </c>
      <c r="E257" s="3" t="str">
        <f t="shared" si="22"/>
        <v>Sensitive</v>
      </c>
      <c r="F257">
        <v>7</v>
      </c>
      <c r="G257" s="3" t="str">
        <f t="shared" si="23"/>
        <v>Resistant</v>
      </c>
      <c r="H257">
        <v>19</v>
      </c>
      <c r="I257" t="str">
        <f t="shared" si="24"/>
        <v>Sensitive</v>
      </c>
      <c r="J257">
        <v>11</v>
      </c>
      <c r="K257" t="str">
        <f t="shared" si="25"/>
        <v>Resistant</v>
      </c>
      <c r="L257">
        <v>20</v>
      </c>
      <c r="M257" s="8" t="str">
        <f t="shared" si="26"/>
        <v>Resistant</v>
      </c>
      <c r="N257">
        <f t="shared" si="27"/>
        <v>3</v>
      </c>
      <c r="O257" t="str">
        <f t="shared" si="21"/>
        <v>MDR</v>
      </c>
    </row>
    <row r="258" spans="1:15">
      <c r="A258" t="s">
        <v>336</v>
      </c>
      <c r="B258" t="s">
        <v>61</v>
      </c>
      <c r="C258" s="14" t="s">
        <v>59</v>
      </c>
      <c r="D258">
        <v>33</v>
      </c>
      <c r="E258" s="3" t="str">
        <f t="shared" si="22"/>
        <v>Sensitive</v>
      </c>
      <c r="F258">
        <v>0</v>
      </c>
      <c r="G258" s="3" t="str">
        <f t="shared" si="23"/>
        <v>Resistant</v>
      </c>
      <c r="H258">
        <v>23</v>
      </c>
      <c r="I258" t="str">
        <f t="shared" si="24"/>
        <v>Sensitive</v>
      </c>
      <c r="J258">
        <v>13</v>
      </c>
      <c r="K258" t="str">
        <f t="shared" si="25"/>
        <v>Resistant</v>
      </c>
      <c r="L258">
        <v>23</v>
      </c>
      <c r="M258" s="8" t="str">
        <f t="shared" si="26"/>
        <v>Intermediate</v>
      </c>
      <c r="N258">
        <f t="shared" si="27"/>
        <v>2</v>
      </c>
      <c r="O258" t="str">
        <f t="shared" ref="O258:O275" si="28">_xlfn.IFS(N258&lt;=2, "Susceptible",N258=3,"MDR",N258=4, "XDR",N258=5, "XDR*")</f>
        <v>Susceptible</v>
      </c>
    </row>
    <row r="259" spans="1:15">
      <c r="A259" t="s">
        <v>337</v>
      </c>
      <c r="B259" t="s">
        <v>61</v>
      </c>
      <c r="C259" s="14" t="s">
        <v>59</v>
      </c>
      <c r="D259">
        <v>27</v>
      </c>
      <c r="E259" s="3" t="str">
        <f t="shared" ref="E259:E275" si="29">_xlfn.IFS(D259&lt;=19, "Resistant", D259&lt;=22, "Intermediate", D259&gt;=23, "Sensitive")</f>
        <v>Sensitive</v>
      </c>
      <c r="F259">
        <v>7</v>
      </c>
      <c r="G259" s="3" t="str">
        <f t="shared" ref="G259:G275" si="30">_xlfn.IFS(F259&lt;=17, "Resistant", F259&lt;=20, "Intermediate", F259&gt;=21, "Sensitive")</f>
        <v>Resistant</v>
      </c>
      <c r="H259">
        <v>19</v>
      </c>
      <c r="I259" t="str">
        <f t="shared" ref="I259:I275" si="31">_xlfn.IFS(H259&lt;=12, "Resistant", H259&lt;=14, "Intermediate", H259&gt;=15, "Sensitive")</f>
        <v>Sensitive</v>
      </c>
      <c r="J259">
        <v>10</v>
      </c>
      <c r="K259" t="str">
        <f t="shared" ref="K259:K275" si="32">_xlfn.IFS(J259&lt;=13, "Resistant", J259&lt;=17, "Intermediate", J259&gt;=18, "Sensitive")</f>
        <v>Resistant</v>
      </c>
      <c r="L259">
        <v>0</v>
      </c>
      <c r="M259" s="8" t="str">
        <f t="shared" ref="M259:M275" si="33">_xlfn.IFS(L259&lt;=21, "Resistant", L259&lt;=25, "Intermediate", L259&gt;=26, "Sensitive")</f>
        <v>Resistant</v>
      </c>
      <c r="N259">
        <f t="shared" ref="N259:N275" si="34">COUNTIF(E259:M259,"Resistant")</f>
        <v>3</v>
      </c>
      <c r="O259" t="str">
        <f t="shared" si="28"/>
        <v>MDR</v>
      </c>
    </row>
    <row r="260" spans="1:15">
      <c r="A260" t="s">
        <v>338</v>
      </c>
      <c r="B260" t="s">
        <v>61</v>
      </c>
      <c r="C260" s="14" t="s">
        <v>59</v>
      </c>
      <c r="D260">
        <v>35</v>
      </c>
      <c r="E260" s="3" t="str">
        <f t="shared" si="29"/>
        <v>Sensitive</v>
      </c>
      <c r="F260">
        <v>0</v>
      </c>
      <c r="G260" s="3" t="str">
        <f t="shared" si="30"/>
        <v>Resistant</v>
      </c>
      <c r="H260">
        <v>13</v>
      </c>
      <c r="I260" t="str">
        <f t="shared" si="31"/>
        <v>Intermediate</v>
      </c>
      <c r="J260">
        <v>12</v>
      </c>
      <c r="K260" t="str">
        <f t="shared" si="32"/>
        <v>Resistant</v>
      </c>
      <c r="L260">
        <v>20</v>
      </c>
      <c r="M260" s="8" t="str">
        <f t="shared" si="33"/>
        <v>Resistant</v>
      </c>
      <c r="N260">
        <f t="shared" si="34"/>
        <v>3</v>
      </c>
      <c r="O260" t="str">
        <f t="shared" si="28"/>
        <v>MDR</v>
      </c>
    </row>
    <row r="261" spans="1:15">
      <c r="A261" t="s">
        <v>339</v>
      </c>
      <c r="B261" t="s">
        <v>61</v>
      </c>
      <c r="C261" s="14" t="s">
        <v>59</v>
      </c>
      <c r="D261">
        <v>20</v>
      </c>
      <c r="E261" s="3" t="str">
        <f t="shared" si="29"/>
        <v>Intermediate</v>
      </c>
      <c r="F261">
        <v>25</v>
      </c>
      <c r="G261" s="3" t="str">
        <f t="shared" si="30"/>
        <v>Sensitive</v>
      </c>
      <c r="H261">
        <v>18</v>
      </c>
      <c r="I261" t="str">
        <f t="shared" si="31"/>
        <v>Sensitive</v>
      </c>
      <c r="J261">
        <v>0</v>
      </c>
      <c r="K261" t="str">
        <f t="shared" si="32"/>
        <v>Resistant</v>
      </c>
      <c r="L261">
        <v>23</v>
      </c>
      <c r="M261" s="8" t="str">
        <f t="shared" si="33"/>
        <v>Intermediate</v>
      </c>
      <c r="N261">
        <f t="shared" si="34"/>
        <v>1</v>
      </c>
      <c r="O261" t="str">
        <f t="shared" si="28"/>
        <v>Susceptible</v>
      </c>
    </row>
    <row r="262" spans="1:15">
      <c r="A262" t="s">
        <v>340</v>
      </c>
      <c r="B262" t="s">
        <v>61</v>
      </c>
      <c r="C262" s="14" t="s">
        <v>59</v>
      </c>
      <c r="D262">
        <v>18</v>
      </c>
      <c r="E262" s="3" t="str">
        <f t="shared" si="29"/>
        <v>Resistant</v>
      </c>
      <c r="F262">
        <v>0</v>
      </c>
      <c r="G262" s="3" t="str">
        <f t="shared" si="30"/>
        <v>Resistant</v>
      </c>
      <c r="H262">
        <v>17</v>
      </c>
      <c r="I262" t="str">
        <f t="shared" si="31"/>
        <v>Sensitive</v>
      </c>
      <c r="J262">
        <v>11</v>
      </c>
      <c r="K262" t="str">
        <f t="shared" si="32"/>
        <v>Resistant</v>
      </c>
      <c r="L262">
        <v>25</v>
      </c>
      <c r="M262" s="8" t="str">
        <f t="shared" si="33"/>
        <v>Intermediate</v>
      </c>
      <c r="N262">
        <f t="shared" si="34"/>
        <v>3</v>
      </c>
      <c r="O262" t="str">
        <f t="shared" si="28"/>
        <v>MDR</v>
      </c>
    </row>
    <row r="263" spans="1:15">
      <c r="A263" t="s">
        <v>341</v>
      </c>
      <c r="B263" t="s">
        <v>61</v>
      </c>
      <c r="C263" s="14" t="s">
        <v>59</v>
      </c>
      <c r="D263">
        <v>17</v>
      </c>
      <c r="E263" s="3" t="str">
        <f t="shared" si="29"/>
        <v>Resistant</v>
      </c>
      <c r="F263">
        <v>0</v>
      </c>
      <c r="G263" s="3" t="str">
        <f t="shared" si="30"/>
        <v>Resistant</v>
      </c>
      <c r="H263">
        <v>17</v>
      </c>
      <c r="I263" t="str">
        <f t="shared" si="31"/>
        <v>Sensitive</v>
      </c>
      <c r="J263">
        <v>15</v>
      </c>
      <c r="K263" t="str">
        <f t="shared" si="32"/>
        <v>Intermediate</v>
      </c>
      <c r="L263">
        <v>20</v>
      </c>
      <c r="M263" s="8" t="str">
        <f t="shared" si="33"/>
        <v>Resistant</v>
      </c>
      <c r="N263">
        <f t="shared" si="34"/>
        <v>3</v>
      </c>
      <c r="O263" t="str">
        <f t="shared" si="28"/>
        <v>MDR</v>
      </c>
    </row>
    <row r="264" spans="1:15">
      <c r="A264" t="s">
        <v>342</v>
      </c>
      <c r="B264" t="s">
        <v>61</v>
      </c>
      <c r="C264" s="14" t="s">
        <v>59</v>
      </c>
      <c r="D264">
        <v>20</v>
      </c>
      <c r="E264" s="3" t="str">
        <f t="shared" si="29"/>
        <v>Intermediate</v>
      </c>
      <c r="F264">
        <v>19</v>
      </c>
      <c r="G264" s="3" t="str">
        <f t="shared" si="30"/>
        <v>Intermediate</v>
      </c>
      <c r="H264">
        <v>15</v>
      </c>
      <c r="I264" t="str">
        <f t="shared" si="31"/>
        <v>Sensitive</v>
      </c>
      <c r="J264">
        <v>15</v>
      </c>
      <c r="K264" t="str">
        <f t="shared" si="32"/>
        <v>Intermediate</v>
      </c>
      <c r="L264">
        <v>22</v>
      </c>
      <c r="M264" s="8" t="str">
        <f t="shared" si="33"/>
        <v>Intermediate</v>
      </c>
      <c r="N264">
        <f t="shared" si="34"/>
        <v>0</v>
      </c>
      <c r="O264" t="str">
        <f t="shared" si="28"/>
        <v>Susceptible</v>
      </c>
    </row>
    <row r="265" spans="1:15">
      <c r="A265" t="s">
        <v>343</v>
      </c>
      <c r="B265" t="s">
        <v>61</v>
      </c>
      <c r="C265" s="14" t="s">
        <v>59</v>
      </c>
      <c r="D265">
        <v>20</v>
      </c>
      <c r="E265" s="3" t="str">
        <f t="shared" si="29"/>
        <v>Intermediate</v>
      </c>
      <c r="F265">
        <v>10</v>
      </c>
      <c r="G265" s="3" t="str">
        <f t="shared" si="30"/>
        <v>Resistant</v>
      </c>
      <c r="H265">
        <v>20</v>
      </c>
      <c r="I265" t="str">
        <f t="shared" si="31"/>
        <v>Sensitive</v>
      </c>
      <c r="J265">
        <v>17</v>
      </c>
      <c r="K265" t="str">
        <f t="shared" si="32"/>
        <v>Intermediate</v>
      </c>
      <c r="L265">
        <v>30</v>
      </c>
      <c r="M265" s="8" t="str">
        <f t="shared" si="33"/>
        <v>Sensitive</v>
      </c>
      <c r="N265">
        <f t="shared" si="34"/>
        <v>1</v>
      </c>
      <c r="O265" t="str">
        <f t="shared" si="28"/>
        <v>Susceptible</v>
      </c>
    </row>
    <row r="266" spans="1:15">
      <c r="A266" t="s">
        <v>344</v>
      </c>
      <c r="B266" t="s">
        <v>61</v>
      </c>
      <c r="C266" s="14" t="s">
        <v>59</v>
      </c>
      <c r="D266">
        <v>30</v>
      </c>
      <c r="E266" s="3" t="str">
        <f t="shared" si="29"/>
        <v>Sensitive</v>
      </c>
      <c r="F266">
        <v>0</v>
      </c>
      <c r="G266" s="3" t="str">
        <f t="shared" si="30"/>
        <v>Resistant</v>
      </c>
      <c r="H266">
        <v>15</v>
      </c>
      <c r="I266" t="str">
        <f t="shared" si="31"/>
        <v>Sensitive</v>
      </c>
      <c r="J266">
        <v>15</v>
      </c>
      <c r="K266" t="str">
        <f t="shared" si="32"/>
        <v>Intermediate</v>
      </c>
      <c r="L266">
        <v>13</v>
      </c>
      <c r="M266" s="8" t="str">
        <f t="shared" si="33"/>
        <v>Resistant</v>
      </c>
      <c r="N266">
        <f t="shared" si="34"/>
        <v>2</v>
      </c>
      <c r="O266" t="str">
        <f t="shared" si="28"/>
        <v>Susceptible</v>
      </c>
    </row>
    <row r="267" spans="1:15">
      <c r="A267" t="s">
        <v>345</v>
      </c>
      <c r="B267" t="s">
        <v>61</v>
      </c>
      <c r="C267" s="14" t="s">
        <v>59</v>
      </c>
      <c r="D267">
        <v>20</v>
      </c>
      <c r="E267" s="3" t="str">
        <f t="shared" si="29"/>
        <v>Intermediate</v>
      </c>
      <c r="F267">
        <v>25</v>
      </c>
      <c r="G267" s="3" t="str">
        <f t="shared" si="30"/>
        <v>Sensitive</v>
      </c>
      <c r="H267">
        <v>15</v>
      </c>
      <c r="I267" t="str">
        <f t="shared" si="31"/>
        <v>Sensitive</v>
      </c>
      <c r="J267">
        <v>12</v>
      </c>
      <c r="K267" t="str">
        <f t="shared" si="32"/>
        <v>Resistant</v>
      </c>
      <c r="L267">
        <v>25</v>
      </c>
      <c r="M267" s="8" t="str">
        <f t="shared" si="33"/>
        <v>Intermediate</v>
      </c>
      <c r="N267">
        <f t="shared" si="34"/>
        <v>1</v>
      </c>
      <c r="O267" t="str">
        <f t="shared" si="28"/>
        <v>Susceptible</v>
      </c>
    </row>
    <row r="268" spans="1:15">
      <c r="A268" t="s">
        <v>346</v>
      </c>
      <c r="B268" t="s">
        <v>61</v>
      </c>
      <c r="C268" s="14" t="s">
        <v>59</v>
      </c>
      <c r="D268">
        <v>34</v>
      </c>
      <c r="E268" s="3" t="str">
        <f t="shared" si="29"/>
        <v>Sensitive</v>
      </c>
      <c r="F268">
        <v>0</v>
      </c>
      <c r="G268" s="3" t="str">
        <f t="shared" si="30"/>
        <v>Resistant</v>
      </c>
      <c r="H268">
        <v>20</v>
      </c>
      <c r="I268" t="str">
        <f t="shared" si="31"/>
        <v>Sensitive</v>
      </c>
      <c r="J268">
        <v>15</v>
      </c>
      <c r="K268" t="str">
        <f t="shared" si="32"/>
        <v>Intermediate</v>
      </c>
      <c r="L268">
        <v>20</v>
      </c>
      <c r="M268" s="8" t="str">
        <f t="shared" si="33"/>
        <v>Resistant</v>
      </c>
      <c r="N268">
        <f t="shared" si="34"/>
        <v>2</v>
      </c>
      <c r="O268" t="str">
        <f t="shared" si="28"/>
        <v>Susceptible</v>
      </c>
    </row>
    <row r="269" spans="1:15">
      <c r="A269" t="s">
        <v>347</v>
      </c>
      <c r="B269" t="s">
        <v>61</v>
      </c>
      <c r="C269" s="14" t="s">
        <v>59</v>
      </c>
      <c r="D269">
        <v>25</v>
      </c>
      <c r="E269" s="3" t="str">
        <f t="shared" si="29"/>
        <v>Sensitive</v>
      </c>
      <c r="F269">
        <v>0</v>
      </c>
      <c r="G269" s="3" t="str">
        <f t="shared" si="30"/>
        <v>Resistant</v>
      </c>
      <c r="H269">
        <v>20</v>
      </c>
      <c r="I269" t="str">
        <f t="shared" si="31"/>
        <v>Sensitive</v>
      </c>
      <c r="J269">
        <v>15</v>
      </c>
      <c r="K269" t="str">
        <f t="shared" si="32"/>
        <v>Intermediate</v>
      </c>
      <c r="L269">
        <v>19</v>
      </c>
      <c r="M269" s="8" t="str">
        <f t="shared" si="33"/>
        <v>Resistant</v>
      </c>
      <c r="N269">
        <f t="shared" si="34"/>
        <v>2</v>
      </c>
      <c r="O269" t="str">
        <f t="shared" si="28"/>
        <v>Susceptible</v>
      </c>
    </row>
    <row r="270" spans="1:15">
      <c r="A270" t="s">
        <v>348</v>
      </c>
      <c r="B270" t="s">
        <v>61</v>
      </c>
      <c r="C270" s="14" t="s">
        <v>59</v>
      </c>
      <c r="D270">
        <v>25</v>
      </c>
      <c r="E270" s="3" t="str">
        <f t="shared" si="29"/>
        <v>Sensitive</v>
      </c>
      <c r="F270">
        <v>7</v>
      </c>
      <c r="G270" s="3" t="str">
        <f t="shared" si="30"/>
        <v>Resistant</v>
      </c>
      <c r="H270">
        <v>18</v>
      </c>
      <c r="I270" t="str">
        <f t="shared" si="31"/>
        <v>Sensitive</v>
      </c>
      <c r="J270">
        <v>15</v>
      </c>
      <c r="K270" t="str">
        <f t="shared" si="32"/>
        <v>Intermediate</v>
      </c>
      <c r="L270">
        <v>27</v>
      </c>
      <c r="M270" s="8" t="str">
        <f t="shared" si="33"/>
        <v>Sensitive</v>
      </c>
      <c r="N270">
        <f t="shared" si="34"/>
        <v>1</v>
      </c>
      <c r="O270" t="str">
        <f t="shared" si="28"/>
        <v>Susceptible</v>
      </c>
    </row>
    <row r="271" spans="1:15">
      <c r="A271" t="s">
        <v>349</v>
      </c>
      <c r="B271" t="s">
        <v>61</v>
      </c>
      <c r="C271" s="14" t="s">
        <v>59</v>
      </c>
      <c r="D271">
        <v>33</v>
      </c>
      <c r="E271" s="3" t="str">
        <f t="shared" si="29"/>
        <v>Sensitive</v>
      </c>
      <c r="F271">
        <v>0</v>
      </c>
      <c r="G271" s="3" t="str">
        <f t="shared" si="30"/>
        <v>Resistant</v>
      </c>
      <c r="H271">
        <v>0</v>
      </c>
      <c r="I271" t="str">
        <f t="shared" si="31"/>
        <v>Resistant</v>
      </c>
      <c r="J271">
        <v>12</v>
      </c>
      <c r="K271" t="str">
        <f t="shared" si="32"/>
        <v>Resistant</v>
      </c>
      <c r="L271">
        <v>25</v>
      </c>
      <c r="M271" s="8" t="str">
        <f t="shared" si="33"/>
        <v>Intermediate</v>
      </c>
      <c r="N271">
        <f t="shared" si="34"/>
        <v>3</v>
      </c>
      <c r="O271" t="str">
        <f t="shared" si="28"/>
        <v>MDR</v>
      </c>
    </row>
    <row r="272" spans="1:15">
      <c r="A272" t="s">
        <v>350</v>
      </c>
      <c r="B272" t="s">
        <v>61</v>
      </c>
      <c r="C272" s="14" t="s">
        <v>59</v>
      </c>
      <c r="D272">
        <v>30</v>
      </c>
      <c r="E272" s="3" t="str">
        <f t="shared" si="29"/>
        <v>Sensitive</v>
      </c>
      <c r="F272">
        <v>0</v>
      </c>
      <c r="G272" s="3" t="str">
        <f t="shared" si="30"/>
        <v>Resistant</v>
      </c>
      <c r="H272">
        <v>20</v>
      </c>
      <c r="I272" t="str">
        <f t="shared" si="31"/>
        <v>Sensitive</v>
      </c>
      <c r="J272">
        <v>12</v>
      </c>
      <c r="K272" t="str">
        <f t="shared" si="32"/>
        <v>Resistant</v>
      </c>
      <c r="L272">
        <v>23</v>
      </c>
      <c r="M272" s="8" t="str">
        <f t="shared" si="33"/>
        <v>Intermediate</v>
      </c>
      <c r="N272">
        <f t="shared" si="34"/>
        <v>2</v>
      </c>
      <c r="O272" t="str">
        <f t="shared" si="28"/>
        <v>Susceptible</v>
      </c>
    </row>
    <row r="273" spans="1:15">
      <c r="A273" t="s">
        <v>351</v>
      </c>
      <c r="B273" t="s">
        <v>61</v>
      </c>
      <c r="C273" s="14" t="s">
        <v>59</v>
      </c>
      <c r="D273">
        <v>23</v>
      </c>
      <c r="E273" s="3" t="str">
        <f t="shared" si="29"/>
        <v>Sensitive</v>
      </c>
      <c r="F273">
        <v>30</v>
      </c>
      <c r="G273" s="3" t="str">
        <f t="shared" si="30"/>
        <v>Sensitive</v>
      </c>
      <c r="H273">
        <v>20</v>
      </c>
      <c r="I273" t="str">
        <f t="shared" si="31"/>
        <v>Sensitive</v>
      </c>
      <c r="J273">
        <v>12</v>
      </c>
      <c r="K273" t="str">
        <f t="shared" si="32"/>
        <v>Resistant</v>
      </c>
      <c r="L273">
        <v>35</v>
      </c>
      <c r="M273" s="8" t="str">
        <f t="shared" si="33"/>
        <v>Sensitive</v>
      </c>
      <c r="N273">
        <f t="shared" si="34"/>
        <v>1</v>
      </c>
      <c r="O273" t="str">
        <f t="shared" si="28"/>
        <v>Susceptible</v>
      </c>
    </row>
    <row r="274" spans="1:15">
      <c r="A274" t="s">
        <v>352</v>
      </c>
      <c r="B274" t="s">
        <v>61</v>
      </c>
      <c r="C274" s="14" t="s">
        <v>59</v>
      </c>
      <c r="D274">
        <v>21</v>
      </c>
      <c r="E274" s="3" t="str">
        <f t="shared" si="29"/>
        <v>Intermediate</v>
      </c>
      <c r="F274">
        <v>0</v>
      </c>
      <c r="G274" s="3" t="str">
        <f t="shared" si="30"/>
        <v>Resistant</v>
      </c>
      <c r="H274">
        <v>18</v>
      </c>
      <c r="I274" t="str">
        <f t="shared" si="31"/>
        <v>Sensitive</v>
      </c>
      <c r="J274">
        <v>12</v>
      </c>
      <c r="K274" t="str">
        <f t="shared" si="32"/>
        <v>Resistant</v>
      </c>
      <c r="L274">
        <v>20</v>
      </c>
      <c r="M274" s="8" t="str">
        <f t="shared" si="33"/>
        <v>Resistant</v>
      </c>
      <c r="N274">
        <f t="shared" si="34"/>
        <v>3</v>
      </c>
      <c r="O274" t="str">
        <f t="shared" si="28"/>
        <v>MDR</v>
      </c>
    </row>
    <row r="275" spans="1:15">
      <c r="A275" t="s">
        <v>353</v>
      </c>
      <c r="B275" t="s">
        <v>61</v>
      </c>
      <c r="C275" s="14" t="s">
        <v>59</v>
      </c>
      <c r="D275">
        <v>24</v>
      </c>
      <c r="E275" s="3" t="str">
        <f t="shared" si="29"/>
        <v>Sensitive</v>
      </c>
      <c r="F275">
        <v>0</v>
      </c>
      <c r="G275" s="3" t="str">
        <f t="shared" si="30"/>
        <v>Resistant</v>
      </c>
      <c r="H275">
        <v>22</v>
      </c>
      <c r="I275" t="str">
        <f t="shared" si="31"/>
        <v>Sensitive</v>
      </c>
      <c r="J275">
        <v>11</v>
      </c>
      <c r="K275" t="str">
        <f t="shared" si="32"/>
        <v>Resistant</v>
      </c>
      <c r="L275">
        <v>23</v>
      </c>
      <c r="M275" s="8" t="str">
        <f t="shared" si="33"/>
        <v>Intermediate</v>
      </c>
      <c r="N275">
        <f t="shared" si="34"/>
        <v>2</v>
      </c>
      <c r="O275" t="str">
        <f t="shared" si="28"/>
        <v>Susceptible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1A0F-B002-43DA-A353-64DE1B78852F}">
  <dimension ref="A1:E6"/>
  <sheetViews>
    <sheetView workbookViewId="0">
      <selection activeCell="J12" sqref="J12"/>
    </sheetView>
  </sheetViews>
  <sheetFormatPr defaultRowHeight="14.4"/>
  <cols>
    <col min="1" max="1" width="10.88671875" customWidth="1"/>
    <col min="2" max="2" width="11.109375" customWidth="1"/>
    <col min="3" max="3" width="11.88671875" customWidth="1"/>
    <col min="4" max="4" width="15.5546875" customWidth="1"/>
    <col min="5" max="5" width="13" customWidth="1"/>
  </cols>
  <sheetData>
    <row r="1" spans="1:5" s="5" customForma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>
      <c r="A4" t="s">
        <v>32</v>
      </c>
      <c r="B4" t="s">
        <v>23</v>
      </c>
      <c r="C4" t="s">
        <v>33</v>
      </c>
      <c r="D4" t="s">
        <v>34</v>
      </c>
      <c r="E4" t="s">
        <v>35</v>
      </c>
    </row>
    <row r="5" spans="1:5">
      <c r="A5" t="s">
        <v>36</v>
      </c>
      <c r="B5" t="s">
        <v>37</v>
      </c>
      <c r="C5" t="s">
        <v>38</v>
      </c>
      <c r="D5" t="s">
        <v>39</v>
      </c>
      <c r="E5" t="s">
        <v>40</v>
      </c>
    </row>
    <row r="6" spans="1:5">
      <c r="A6" t="s">
        <v>41</v>
      </c>
      <c r="B6" t="s">
        <v>42</v>
      </c>
      <c r="C6" t="s">
        <v>43</v>
      </c>
      <c r="D6" t="s">
        <v>44</v>
      </c>
      <c r="E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EDA2</vt:lpstr>
      <vt:lpstr>EDA</vt:lpstr>
      <vt:lpstr>Feature engineering</vt:lpstr>
      <vt:lpstr>CLSI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WAH3</cp:lastModifiedBy>
  <dcterms:created xsi:type="dcterms:W3CDTF">2023-09-29T20:42:50Z</dcterms:created>
  <dcterms:modified xsi:type="dcterms:W3CDTF">2026-08-08T09:12:55Z</dcterms:modified>
</cp:coreProperties>
</file>