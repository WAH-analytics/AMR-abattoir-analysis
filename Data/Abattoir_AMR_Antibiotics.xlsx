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WAH3\Desktop\Portfolio\AMR in Abattoir\Dataset\"/>
    </mc:Choice>
  </mc:AlternateContent>
  <xr:revisionPtr revIDLastSave="0" documentId="13_ncr:1_{9544220D-33CB-4846-931A-CA0DA59A70C6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Antibiotics" sheetId="10" r:id="rId1"/>
    <sheet name="Sheet3" sheetId="3" r:id="rId2"/>
    <sheet name="townbysource" sheetId="9" r:id="rId3"/>
    <sheet name="Antibiotic 2" sheetId="12" r:id="rId4"/>
    <sheet name="Sheet1" sheetId="1" r:id="rId5"/>
    <sheet name="Sheet2" sheetId="2" r:id="rId6"/>
  </sheets>
  <definedNames>
    <definedName name="_xlnm._FilterDatabase" localSheetId="0" hidden="1">Antibiotics!$A$1:$B$18</definedName>
    <definedName name="_xlnm._FilterDatabase" localSheetId="4" hidden="1">Sheet1!$A$1:$N$275</definedName>
  </definedNames>
  <calcPr calcId="191029"/>
  <pivotCaches>
    <pivotCache cacheId="0" r:id="rId7"/>
    <pivotCache cacheId="1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" i="12" l="1"/>
  <c r="J3" i="12" s="1"/>
  <c r="G4" i="12"/>
  <c r="I4" i="12" s="1"/>
  <c r="G5" i="12"/>
  <c r="H5" i="12" s="1"/>
  <c r="G6" i="12"/>
  <c r="J6" i="12" s="1"/>
  <c r="G7" i="12"/>
  <c r="I7" i="12" s="1"/>
  <c r="G8" i="12"/>
  <c r="H8" i="12" s="1"/>
  <c r="G9" i="12"/>
  <c r="J9" i="12" s="1"/>
  <c r="G10" i="12"/>
  <c r="J10" i="12" s="1"/>
  <c r="G11" i="12"/>
  <c r="J11" i="12" s="1"/>
  <c r="G12" i="12"/>
  <c r="J12" i="12" s="1"/>
  <c r="G13" i="12"/>
  <c r="J13" i="12" s="1"/>
  <c r="G14" i="12"/>
  <c r="J14" i="12" s="1"/>
  <c r="G15" i="12"/>
  <c r="I15" i="12" s="1"/>
  <c r="G16" i="12"/>
  <c r="J16" i="12" s="1"/>
  <c r="G17" i="12"/>
  <c r="I17" i="12" s="1"/>
  <c r="G18" i="12"/>
  <c r="J18" i="12" s="1"/>
  <c r="G19" i="12"/>
  <c r="J19" i="12" s="1"/>
  <c r="G20" i="12"/>
  <c r="I20" i="12" s="1"/>
  <c r="G21" i="12"/>
  <c r="J21" i="12" s="1"/>
  <c r="G22" i="12"/>
  <c r="J22" i="12" s="1"/>
  <c r="G23" i="12"/>
  <c r="I23" i="12" s="1"/>
  <c r="G24" i="12"/>
  <c r="I24" i="12" s="1"/>
  <c r="G25" i="12"/>
  <c r="I25" i="12" s="1"/>
  <c r="G26" i="12"/>
  <c r="J26" i="12" s="1"/>
  <c r="G27" i="12"/>
  <c r="J27" i="12" s="1"/>
  <c r="G28" i="12"/>
  <c r="J28" i="12" s="1"/>
  <c r="G29" i="12"/>
  <c r="H29" i="12" s="1"/>
  <c r="G30" i="12"/>
  <c r="J30" i="12" s="1"/>
  <c r="G31" i="12"/>
  <c r="I31" i="12" s="1"/>
  <c r="G32" i="12"/>
  <c r="J32" i="12" s="1"/>
  <c r="G33" i="12"/>
  <c r="J33" i="12" s="1"/>
  <c r="G34" i="12"/>
  <c r="J34" i="12" s="1"/>
  <c r="G35" i="12"/>
  <c r="J35" i="12" s="1"/>
  <c r="G36" i="12"/>
  <c r="I36" i="12" s="1"/>
  <c r="G37" i="12"/>
  <c r="H37" i="12" s="1"/>
  <c r="G38" i="12"/>
  <c r="J38" i="12" s="1"/>
  <c r="G39" i="12"/>
  <c r="I39" i="12" s="1"/>
  <c r="G40" i="12"/>
  <c r="I40" i="12" s="1"/>
  <c r="G41" i="12"/>
  <c r="J41" i="12" s="1"/>
  <c r="G42" i="12"/>
  <c r="J42" i="12" s="1"/>
  <c r="G43" i="12"/>
  <c r="J43" i="12" s="1"/>
  <c r="G44" i="12"/>
  <c r="J44" i="12" s="1"/>
  <c r="G45" i="12"/>
  <c r="I45" i="12" s="1"/>
  <c r="G46" i="12"/>
  <c r="J46" i="12" s="1"/>
  <c r="G47" i="12"/>
  <c r="I47" i="12" s="1"/>
  <c r="G48" i="12"/>
  <c r="J48" i="12" s="1"/>
  <c r="G49" i="12"/>
  <c r="J49" i="12" s="1"/>
  <c r="G50" i="12"/>
  <c r="J50" i="12" s="1"/>
  <c r="G51" i="12"/>
  <c r="J51" i="12" s="1"/>
  <c r="G52" i="12"/>
  <c r="I52" i="12" s="1"/>
  <c r="G53" i="12"/>
  <c r="J53" i="12" s="1"/>
  <c r="G54" i="12"/>
  <c r="J54" i="12" s="1"/>
  <c r="G55" i="12"/>
  <c r="I55" i="12" s="1"/>
  <c r="G56" i="12"/>
  <c r="I56" i="12" s="1"/>
  <c r="G57" i="12"/>
  <c r="J57" i="12" s="1"/>
  <c r="G58" i="12"/>
  <c r="J58" i="12" s="1"/>
  <c r="G59" i="12"/>
  <c r="J59" i="12" s="1"/>
  <c r="G60" i="12"/>
  <c r="J60" i="12" s="1"/>
  <c r="G61" i="12"/>
  <c r="H61" i="12" s="1"/>
  <c r="H56" i="12" l="1"/>
  <c r="H40" i="12"/>
  <c r="H24" i="12"/>
  <c r="I60" i="12"/>
  <c r="I44" i="12"/>
  <c r="I28" i="12"/>
  <c r="I12" i="12"/>
  <c r="J56" i="12"/>
  <c r="J40" i="12"/>
  <c r="J24" i="12"/>
  <c r="J8" i="12"/>
  <c r="H55" i="12"/>
  <c r="H39" i="12"/>
  <c r="H23" i="12"/>
  <c r="I59" i="12"/>
  <c r="I51" i="12"/>
  <c r="I35" i="12"/>
  <c r="I19" i="12"/>
  <c r="I3" i="12"/>
  <c r="J55" i="12"/>
  <c r="J39" i="12"/>
  <c r="J31" i="12"/>
  <c r="J23" i="12"/>
  <c r="J15" i="12"/>
  <c r="J7" i="12"/>
  <c r="H60" i="12"/>
  <c r="H52" i="12"/>
  <c r="H44" i="12"/>
  <c r="H36" i="12"/>
  <c r="H28" i="12"/>
  <c r="H20" i="12"/>
  <c r="H12" i="12"/>
  <c r="H4" i="12"/>
  <c r="I48" i="12"/>
  <c r="I32" i="12"/>
  <c r="I16" i="12"/>
  <c r="I8" i="12"/>
  <c r="J52" i="12"/>
  <c r="J36" i="12"/>
  <c r="J20" i="12"/>
  <c r="J4" i="12"/>
  <c r="H48" i="12"/>
  <c r="H32" i="12"/>
  <c r="H16" i="12"/>
  <c r="H47" i="12"/>
  <c r="H31" i="12"/>
  <c r="H15" i="12"/>
  <c r="H7" i="12"/>
  <c r="I43" i="12"/>
  <c r="I27" i="12"/>
  <c r="I11" i="12"/>
  <c r="J47" i="12"/>
  <c r="H59" i="12"/>
  <c r="H51" i="12"/>
  <c r="H43" i="12"/>
  <c r="H35" i="12"/>
  <c r="H27" i="12"/>
  <c r="H19" i="12"/>
  <c r="H11" i="12"/>
  <c r="H3" i="12"/>
  <c r="H53" i="12"/>
  <c r="H45" i="12"/>
  <c r="H33" i="12"/>
  <c r="H17" i="12"/>
  <c r="H9" i="12"/>
  <c r="I61" i="12"/>
  <c r="I53" i="12"/>
  <c r="I49" i="12"/>
  <c r="I37" i="12"/>
  <c r="I29" i="12"/>
  <c r="I21" i="12"/>
  <c r="I13" i="12"/>
  <c r="I5" i="12"/>
  <c r="J61" i="12"/>
  <c r="J45" i="12"/>
  <c r="J37" i="12"/>
  <c r="J29" i="12"/>
  <c r="J25" i="12"/>
  <c r="J17" i="12"/>
  <c r="J5" i="12"/>
  <c r="H58" i="12"/>
  <c r="H54" i="12"/>
  <c r="H50" i="12"/>
  <c r="H46" i="12"/>
  <c r="H42" i="12"/>
  <c r="H38" i="12"/>
  <c r="H34" i="12"/>
  <c r="H30" i="12"/>
  <c r="H26" i="12"/>
  <c r="H22" i="12"/>
  <c r="H18" i="12"/>
  <c r="H14" i="12"/>
  <c r="H10" i="12"/>
  <c r="H6" i="12"/>
  <c r="I58" i="12"/>
  <c r="I54" i="12"/>
  <c r="I50" i="12"/>
  <c r="I46" i="12"/>
  <c r="I42" i="12"/>
  <c r="I38" i="12"/>
  <c r="I34" i="12"/>
  <c r="I30" i="12"/>
  <c r="I26" i="12"/>
  <c r="I22" i="12"/>
  <c r="I18" i="12"/>
  <c r="I14" i="12"/>
  <c r="I10" i="12"/>
  <c r="I6" i="12"/>
  <c r="H57" i="12"/>
  <c r="H49" i="12"/>
  <c r="H41" i="12"/>
  <c r="H25" i="12"/>
  <c r="H21" i="12"/>
  <c r="H13" i="12"/>
  <c r="I57" i="12"/>
  <c r="I41" i="12"/>
  <c r="I33" i="12"/>
  <c r="I9" i="12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" i="10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" i="1"/>
  <c r="N274" i="1" l="1"/>
  <c r="O274" i="1" s="1"/>
  <c r="N262" i="1"/>
  <c r="O262" i="1" s="1"/>
  <c r="N254" i="1"/>
  <c r="O254" i="1" s="1"/>
  <c r="N238" i="1"/>
  <c r="O238" i="1" s="1"/>
  <c r="N234" i="1"/>
  <c r="O234" i="1" s="1"/>
  <c r="N226" i="1"/>
  <c r="O226" i="1" s="1"/>
  <c r="N218" i="1"/>
  <c r="O218" i="1" s="1"/>
  <c r="N206" i="1"/>
  <c r="O206" i="1" s="1"/>
  <c r="N198" i="1"/>
  <c r="O198" i="1" s="1"/>
  <c r="N182" i="1"/>
  <c r="O182" i="1" s="1"/>
  <c r="N178" i="1"/>
  <c r="O178" i="1" s="1"/>
  <c r="N170" i="1"/>
  <c r="O170" i="1" s="1"/>
  <c r="N162" i="1"/>
  <c r="O162" i="1" s="1"/>
  <c r="N154" i="1"/>
  <c r="O154" i="1" s="1"/>
  <c r="N146" i="1"/>
  <c r="O146" i="1" s="1"/>
  <c r="N138" i="1"/>
  <c r="O138" i="1" s="1"/>
  <c r="N130" i="1"/>
  <c r="O130" i="1" s="1"/>
  <c r="N122" i="1"/>
  <c r="O122" i="1" s="1"/>
  <c r="N114" i="1"/>
  <c r="O114" i="1" s="1"/>
  <c r="N106" i="1"/>
  <c r="O106" i="1" s="1"/>
  <c r="N102" i="1"/>
  <c r="O102" i="1" s="1"/>
  <c r="N98" i="1"/>
  <c r="O98" i="1" s="1"/>
  <c r="N90" i="1"/>
  <c r="O90" i="1" s="1"/>
  <c r="N86" i="1"/>
  <c r="O86" i="1" s="1"/>
  <c r="N82" i="1"/>
  <c r="O82" i="1" s="1"/>
  <c r="N78" i="1"/>
  <c r="O78" i="1" s="1"/>
  <c r="N74" i="1"/>
  <c r="O74" i="1" s="1"/>
  <c r="N70" i="1"/>
  <c r="O70" i="1" s="1"/>
  <c r="N66" i="1"/>
  <c r="O66" i="1" s="1"/>
  <c r="N62" i="1"/>
  <c r="O62" i="1" s="1"/>
  <c r="N58" i="1"/>
  <c r="O58" i="1" s="1"/>
  <c r="N54" i="1"/>
  <c r="O54" i="1" s="1"/>
  <c r="N50" i="1"/>
  <c r="O50" i="1" s="1"/>
  <c r="N38" i="1"/>
  <c r="O38" i="1" s="1"/>
  <c r="N34" i="1"/>
  <c r="O34" i="1" s="1"/>
  <c r="N30" i="1"/>
  <c r="O30" i="1" s="1"/>
  <c r="N26" i="1"/>
  <c r="O26" i="1" s="1"/>
  <c r="N22" i="1"/>
  <c r="O22" i="1" s="1"/>
  <c r="N18" i="1"/>
  <c r="O18" i="1" s="1"/>
  <c r="N14" i="1"/>
  <c r="O14" i="1" s="1"/>
  <c r="N10" i="1"/>
  <c r="O10" i="1" s="1"/>
  <c r="N270" i="1"/>
  <c r="O270" i="1" s="1"/>
  <c r="N266" i="1"/>
  <c r="O266" i="1" s="1"/>
  <c r="N258" i="1"/>
  <c r="O258" i="1" s="1"/>
  <c r="N246" i="1"/>
  <c r="O246" i="1" s="1"/>
  <c r="N230" i="1"/>
  <c r="O230" i="1" s="1"/>
  <c r="N222" i="1"/>
  <c r="O222" i="1" s="1"/>
  <c r="N214" i="1"/>
  <c r="O214" i="1" s="1"/>
  <c r="N202" i="1"/>
  <c r="O202" i="1" s="1"/>
  <c r="N194" i="1"/>
  <c r="O194" i="1" s="1"/>
  <c r="N186" i="1"/>
  <c r="O186" i="1" s="1"/>
  <c r="N174" i="1"/>
  <c r="O174" i="1" s="1"/>
  <c r="N166" i="1"/>
  <c r="O166" i="1" s="1"/>
  <c r="N158" i="1"/>
  <c r="O158" i="1" s="1"/>
  <c r="N150" i="1"/>
  <c r="O150" i="1" s="1"/>
  <c r="N142" i="1"/>
  <c r="O142" i="1" s="1"/>
  <c r="N134" i="1"/>
  <c r="O134" i="1" s="1"/>
  <c r="N126" i="1"/>
  <c r="O126" i="1" s="1"/>
  <c r="N118" i="1"/>
  <c r="O118" i="1" s="1"/>
  <c r="N110" i="1"/>
  <c r="O110" i="1" s="1"/>
  <c r="N94" i="1"/>
  <c r="O94" i="1" s="1"/>
  <c r="N210" i="1"/>
  <c r="O210" i="1" s="1"/>
  <c r="N190" i="1"/>
  <c r="O190" i="1" s="1"/>
  <c r="N6" i="1"/>
  <c r="O6" i="1" s="1"/>
  <c r="N46" i="1"/>
  <c r="O46" i="1" s="1"/>
  <c r="N42" i="1"/>
  <c r="O42" i="1" s="1"/>
  <c r="N275" i="1"/>
  <c r="O275" i="1" s="1"/>
  <c r="N271" i="1"/>
  <c r="O271" i="1" s="1"/>
  <c r="N267" i="1"/>
  <c r="O267" i="1" s="1"/>
  <c r="N263" i="1"/>
  <c r="O263" i="1" s="1"/>
  <c r="N259" i="1"/>
  <c r="O259" i="1" s="1"/>
  <c r="N255" i="1"/>
  <c r="O255" i="1" s="1"/>
  <c r="N251" i="1"/>
  <c r="O251" i="1" s="1"/>
  <c r="N247" i="1"/>
  <c r="O247" i="1" s="1"/>
  <c r="N243" i="1"/>
  <c r="O243" i="1" s="1"/>
  <c r="N239" i="1"/>
  <c r="O239" i="1" s="1"/>
  <c r="N235" i="1"/>
  <c r="O235" i="1" s="1"/>
  <c r="N231" i="1"/>
  <c r="O231" i="1" s="1"/>
  <c r="N227" i="1"/>
  <c r="O227" i="1" s="1"/>
  <c r="N223" i="1"/>
  <c r="O223" i="1" s="1"/>
  <c r="N219" i="1"/>
  <c r="O219" i="1" s="1"/>
  <c r="N215" i="1"/>
  <c r="O215" i="1" s="1"/>
  <c r="N211" i="1"/>
  <c r="O211" i="1" s="1"/>
  <c r="N207" i="1"/>
  <c r="O207" i="1" s="1"/>
  <c r="N203" i="1"/>
  <c r="O203" i="1" s="1"/>
  <c r="N199" i="1"/>
  <c r="O199" i="1" s="1"/>
  <c r="N195" i="1"/>
  <c r="O195" i="1" s="1"/>
  <c r="N191" i="1"/>
  <c r="O191" i="1" s="1"/>
  <c r="N187" i="1"/>
  <c r="O187" i="1" s="1"/>
  <c r="N183" i="1"/>
  <c r="O183" i="1" s="1"/>
  <c r="N179" i="1"/>
  <c r="O179" i="1" s="1"/>
  <c r="N175" i="1"/>
  <c r="O175" i="1" s="1"/>
  <c r="N171" i="1"/>
  <c r="O171" i="1" s="1"/>
  <c r="N167" i="1"/>
  <c r="O167" i="1" s="1"/>
  <c r="N163" i="1"/>
  <c r="O163" i="1" s="1"/>
  <c r="N159" i="1"/>
  <c r="O159" i="1" s="1"/>
  <c r="N155" i="1"/>
  <c r="O155" i="1" s="1"/>
  <c r="N151" i="1"/>
  <c r="O151" i="1" s="1"/>
  <c r="N147" i="1"/>
  <c r="O147" i="1" s="1"/>
  <c r="N143" i="1"/>
  <c r="O143" i="1" s="1"/>
  <c r="N139" i="1"/>
  <c r="O139" i="1" s="1"/>
  <c r="N135" i="1"/>
  <c r="O135" i="1" s="1"/>
  <c r="N131" i="1"/>
  <c r="O131" i="1" s="1"/>
  <c r="N127" i="1"/>
  <c r="O127" i="1" s="1"/>
  <c r="N123" i="1"/>
  <c r="O123" i="1" s="1"/>
  <c r="N119" i="1"/>
  <c r="O119" i="1" s="1"/>
  <c r="N115" i="1"/>
  <c r="O115" i="1" s="1"/>
  <c r="N111" i="1"/>
  <c r="O111" i="1" s="1"/>
  <c r="N107" i="1"/>
  <c r="O107" i="1" s="1"/>
  <c r="N103" i="1"/>
  <c r="O103" i="1" s="1"/>
  <c r="N99" i="1"/>
  <c r="O99" i="1" s="1"/>
  <c r="N95" i="1"/>
  <c r="O95" i="1" s="1"/>
  <c r="N91" i="1"/>
  <c r="O91" i="1" s="1"/>
  <c r="N87" i="1"/>
  <c r="O87" i="1" s="1"/>
  <c r="N83" i="1"/>
  <c r="O83" i="1" s="1"/>
  <c r="N79" i="1"/>
  <c r="O79" i="1" s="1"/>
  <c r="N75" i="1"/>
  <c r="O75" i="1" s="1"/>
  <c r="N71" i="1"/>
  <c r="O71" i="1" s="1"/>
  <c r="N67" i="1"/>
  <c r="O67" i="1" s="1"/>
  <c r="N63" i="1"/>
  <c r="O63" i="1" s="1"/>
  <c r="N59" i="1"/>
  <c r="O59" i="1" s="1"/>
  <c r="N55" i="1"/>
  <c r="O55" i="1" s="1"/>
  <c r="N51" i="1"/>
  <c r="O51" i="1" s="1"/>
  <c r="N47" i="1"/>
  <c r="O47" i="1" s="1"/>
  <c r="N43" i="1"/>
  <c r="O43" i="1" s="1"/>
  <c r="N39" i="1"/>
  <c r="O39" i="1" s="1"/>
  <c r="N35" i="1"/>
  <c r="O35" i="1" s="1"/>
  <c r="N31" i="1"/>
  <c r="O31" i="1" s="1"/>
  <c r="N27" i="1"/>
  <c r="O27" i="1" s="1"/>
  <c r="N23" i="1"/>
  <c r="O23" i="1" s="1"/>
  <c r="N19" i="1"/>
  <c r="O19" i="1" s="1"/>
  <c r="N15" i="1"/>
  <c r="O15" i="1" s="1"/>
  <c r="N11" i="1"/>
  <c r="O11" i="1" s="1"/>
  <c r="N7" i="1"/>
  <c r="O7" i="1" s="1"/>
  <c r="N250" i="1"/>
  <c r="O250" i="1" s="1"/>
  <c r="N242" i="1"/>
  <c r="O242" i="1" s="1"/>
  <c r="N269" i="1"/>
  <c r="O269" i="1" s="1"/>
  <c r="N265" i="1"/>
  <c r="O265" i="1" s="1"/>
  <c r="N253" i="1"/>
  <c r="O253" i="1" s="1"/>
  <c r="N245" i="1"/>
  <c r="O245" i="1" s="1"/>
  <c r="N237" i="1"/>
  <c r="O237" i="1" s="1"/>
  <c r="N229" i="1"/>
  <c r="O229" i="1" s="1"/>
  <c r="N221" i="1"/>
  <c r="O221" i="1" s="1"/>
  <c r="N213" i="1"/>
  <c r="O213" i="1" s="1"/>
  <c r="N205" i="1"/>
  <c r="O205" i="1" s="1"/>
  <c r="N197" i="1"/>
  <c r="O197" i="1" s="1"/>
  <c r="N189" i="1"/>
  <c r="O189" i="1" s="1"/>
  <c r="N181" i="1"/>
  <c r="O181" i="1" s="1"/>
  <c r="N173" i="1"/>
  <c r="O173" i="1" s="1"/>
  <c r="N161" i="1"/>
  <c r="O161" i="1" s="1"/>
  <c r="N157" i="1"/>
  <c r="O157" i="1" s="1"/>
  <c r="N149" i="1"/>
  <c r="O149" i="1" s="1"/>
  <c r="N137" i="1"/>
  <c r="O137" i="1" s="1"/>
  <c r="N133" i="1"/>
  <c r="O133" i="1" s="1"/>
  <c r="N125" i="1"/>
  <c r="O125" i="1" s="1"/>
  <c r="N113" i="1"/>
  <c r="O113" i="1" s="1"/>
  <c r="N109" i="1"/>
  <c r="O109" i="1" s="1"/>
  <c r="N101" i="1"/>
  <c r="O101" i="1" s="1"/>
  <c r="N89" i="1"/>
  <c r="O89" i="1" s="1"/>
  <c r="N81" i="1"/>
  <c r="O81" i="1" s="1"/>
  <c r="N73" i="1"/>
  <c r="O73" i="1" s="1"/>
  <c r="N65" i="1"/>
  <c r="O65" i="1" s="1"/>
  <c r="N57" i="1"/>
  <c r="O57" i="1" s="1"/>
  <c r="N53" i="1"/>
  <c r="O53" i="1" s="1"/>
  <c r="N45" i="1"/>
  <c r="O45" i="1" s="1"/>
  <c r="N37" i="1"/>
  <c r="O37" i="1" s="1"/>
  <c r="N25" i="1"/>
  <c r="O25" i="1" s="1"/>
  <c r="N17" i="1"/>
  <c r="O17" i="1" s="1"/>
  <c r="N9" i="1"/>
  <c r="O9" i="1" s="1"/>
  <c r="N3" i="1"/>
  <c r="O3" i="1" s="1"/>
  <c r="N273" i="1"/>
  <c r="O273" i="1" s="1"/>
  <c r="N261" i="1"/>
  <c r="O261" i="1" s="1"/>
  <c r="N257" i="1"/>
  <c r="O257" i="1" s="1"/>
  <c r="N249" i="1"/>
  <c r="O249" i="1" s="1"/>
  <c r="N241" i="1"/>
  <c r="O241" i="1" s="1"/>
  <c r="N233" i="1"/>
  <c r="O233" i="1" s="1"/>
  <c r="N225" i="1"/>
  <c r="O225" i="1" s="1"/>
  <c r="N217" i="1"/>
  <c r="O217" i="1" s="1"/>
  <c r="N209" i="1"/>
  <c r="O209" i="1" s="1"/>
  <c r="N201" i="1"/>
  <c r="O201" i="1" s="1"/>
  <c r="N193" i="1"/>
  <c r="O193" i="1" s="1"/>
  <c r="N185" i="1"/>
  <c r="O185" i="1" s="1"/>
  <c r="N177" i="1"/>
  <c r="O177" i="1" s="1"/>
  <c r="N169" i="1"/>
  <c r="O169" i="1" s="1"/>
  <c r="N165" i="1"/>
  <c r="O165" i="1" s="1"/>
  <c r="N153" i="1"/>
  <c r="O153" i="1" s="1"/>
  <c r="N145" i="1"/>
  <c r="O145" i="1" s="1"/>
  <c r="N141" i="1"/>
  <c r="O141" i="1" s="1"/>
  <c r="N129" i="1"/>
  <c r="O129" i="1" s="1"/>
  <c r="N121" i="1"/>
  <c r="O121" i="1" s="1"/>
  <c r="N117" i="1"/>
  <c r="O117" i="1" s="1"/>
  <c r="N105" i="1"/>
  <c r="O105" i="1" s="1"/>
  <c r="N97" i="1"/>
  <c r="O97" i="1" s="1"/>
  <c r="N93" i="1"/>
  <c r="O93" i="1" s="1"/>
  <c r="N85" i="1"/>
  <c r="O85" i="1" s="1"/>
  <c r="N77" i="1"/>
  <c r="O77" i="1" s="1"/>
  <c r="N69" i="1"/>
  <c r="O69" i="1" s="1"/>
  <c r="N61" i="1"/>
  <c r="O61" i="1" s="1"/>
  <c r="N49" i="1"/>
  <c r="O49" i="1" s="1"/>
  <c r="N41" i="1"/>
  <c r="O41" i="1" s="1"/>
  <c r="N33" i="1"/>
  <c r="O33" i="1" s="1"/>
  <c r="N29" i="1"/>
  <c r="O29" i="1" s="1"/>
  <c r="N21" i="1"/>
  <c r="O21" i="1" s="1"/>
  <c r="N13" i="1"/>
  <c r="O13" i="1" s="1"/>
  <c r="N5" i="1"/>
  <c r="O5" i="1" s="1"/>
  <c r="N272" i="1"/>
  <c r="O272" i="1" s="1"/>
  <c r="N268" i="1"/>
  <c r="O268" i="1" s="1"/>
  <c r="N264" i="1"/>
  <c r="O264" i="1" s="1"/>
  <c r="N260" i="1"/>
  <c r="O260" i="1" s="1"/>
  <c r="N256" i="1"/>
  <c r="O256" i="1" s="1"/>
  <c r="N252" i="1"/>
  <c r="O252" i="1" s="1"/>
  <c r="N248" i="1"/>
  <c r="O248" i="1" s="1"/>
  <c r="N244" i="1"/>
  <c r="O244" i="1" s="1"/>
  <c r="N240" i="1"/>
  <c r="O240" i="1" s="1"/>
  <c r="N236" i="1"/>
  <c r="O236" i="1" s="1"/>
  <c r="N232" i="1"/>
  <c r="O232" i="1" s="1"/>
  <c r="N228" i="1"/>
  <c r="O228" i="1" s="1"/>
  <c r="N224" i="1"/>
  <c r="O224" i="1" s="1"/>
  <c r="N220" i="1"/>
  <c r="O220" i="1" s="1"/>
  <c r="N216" i="1"/>
  <c r="O216" i="1" s="1"/>
  <c r="N212" i="1"/>
  <c r="O212" i="1" s="1"/>
  <c r="N208" i="1"/>
  <c r="O208" i="1" s="1"/>
  <c r="N204" i="1"/>
  <c r="O204" i="1" s="1"/>
  <c r="N200" i="1"/>
  <c r="O200" i="1" s="1"/>
  <c r="N196" i="1"/>
  <c r="O196" i="1" s="1"/>
  <c r="N192" i="1"/>
  <c r="O192" i="1" s="1"/>
  <c r="N188" i="1"/>
  <c r="O188" i="1" s="1"/>
  <c r="N184" i="1"/>
  <c r="O184" i="1" s="1"/>
  <c r="N180" i="1"/>
  <c r="O180" i="1" s="1"/>
  <c r="N176" i="1"/>
  <c r="O176" i="1" s="1"/>
  <c r="N172" i="1"/>
  <c r="O172" i="1" s="1"/>
  <c r="N168" i="1"/>
  <c r="O168" i="1" s="1"/>
  <c r="N164" i="1"/>
  <c r="O164" i="1" s="1"/>
  <c r="N160" i="1"/>
  <c r="O160" i="1" s="1"/>
  <c r="N156" i="1"/>
  <c r="O156" i="1" s="1"/>
  <c r="N152" i="1"/>
  <c r="O152" i="1" s="1"/>
  <c r="N148" i="1"/>
  <c r="O148" i="1" s="1"/>
  <c r="N144" i="1"/>
  <c r="O144" i="1" s="1"/>
  <c r="N140" i="1"/>
  <c r="O140" i="1" s="1"/>
  <c r="N136" i="1"/>
  <c r="O136" i="1" s="1"/>
  <c r="N132" i="1"/>
  <c r="O132" i="1" s="1"/>
  <c r="N128" i="1"/>
  <c r="O128" i="1" s="1"/>
  <c r="N124" i="1"/>
  <c r="O124" i="1" s="1"/>
  <c r="N120" i="1"/>
  <c r="O120" i="1" s="1"/>
  <c r="N116" i="1"/>
  <c r="O116" i="1" s="1"/>
  <c r="N112" i="1"/>
  <c r="O112" i="1" s="1"/>
  <c r="N108" i="1"/>
  <c r="O108" i="1" s="1"/>
  <c r="N104" i="1"/>
  <c r="O104" i="1" s="1"/>
  <c r="N100" i="1"/>
  <c r="O100" i="1" s="1"/>
  <c r="N96" i="1"/>
  <c r="O96" i="1" s="1"/>
  <c r="N92" i="1"/>
  <c r="O92" i="1" s="1"/>
  <c r="N88" i="1"/>
  <c r="O88" i="1" s="1"/>
  <c r="N84" i="1"/>
  <c r="O84" i="1" s="1"/>
  <c r="N80" i="1"/>
  <c r="O80" i="1" s="1"/>
  <c r="N76" i="1"/>
  <c r="O76" i="1" s="1"/>
  <c r="N72" i="1"/>
  <c r="O72" i="1" s="1"/>
  <c r="N68" i="1"/>
  <c r="O68" i="1" s="1"/>
  <c r="N64" i="1"/>
  <c r="O64" i="1" s="1"/>
  <c r="N60" i="1"/>
  <c r="O60" i="1" s="1"/>
  <c r="N56" i="1"/>
  <c r="O56" i="1" s="1"/>
  <c r="N52" i="1"/>
  <c r="O52" i="1" s="1"/>
  <c r="N48" i="1"/>
  <c r="O48" i="1" s="1"/>
  <c r="N44" i="1"/>
  <c r="O44" i="1" s="1"/>
  <c r="N40" i="1"/>
  <c r="O40" i="1" s="1"/>
  <c r="N36" i="1"/>
  <c r="O36" i="1" s="1"/>
  <c r="N32" i="1"/>
  <c r="O32" i="1" s="1"/>
  <c r="N28" i="1"/>
  <c r="O28" i="1" s="1"/>
  <c r="N24" i="1"/>
  <c r="O24" i="1" s="1"/>
  <c r="N20" i="1"/>
  <c r="O20" i="1" s="1"/>
  <c r="N16" i="1"/>
  <c r="O16" i="1" s="1"/>
  <c r="N12" i="1"/>
  <c r="O12" i="1" s="1"/>
  <c r="N8" i="1"/>
  <c r="O8" i="1" s="1"/>
  <c r="N4" i="1"/>
  <c r="O4" i="1" s="1"/>
  <c r="S10" i="1"/>
  <c r="S9" i="1"/>
  <c r="S8" i="1"/>
  <c r="S11" i="1" s="1"/>
  <c r="N2" i="1"/>
  <c r="O2" i="1"/>
  <c r="G2" i="12"/>
  <c r="J2" i="12" l="1"/>
  <c r="I2" i="12"/>
  <c r="H2" i="12"/>
</calcChain>
</file>

<file path=xl/sharedStrings.xml><?xml version="1.0" encoding="utf-8"?>
<sst xmlns="http://schemas.openxmlformats.org/spreadsheetml/2006/main" count="1331" uniqueCount="363">
  <si>
    <t>GENTAMICIN</t>
  </si>
  <si>
    <t>CIPROFLOXACIN</t>
  </si>
  <si>
    <t>CEFTAZIDIME</t>
  </si>
  <si>
    <t>IFE-T</t>
  </si>
  <si>
    <t>IFE-C</t>
  </si>
  <si>
    <t>IFE-S</t>
  </si>
  <si>
    <t>OSU-T</t>
  </si>
  <si>
    <t>OSU-C</t>
  </si>
  <si>
    <t>OSU-S</t>
  </si>
  <si>
    <t>IWO-T</t>
  </si>
  <si>
    <t>IWO-C</t>
  </si>
  <si>
    <t>IWO-S</t>
  </si>
  <si>
    <t>EDE-T</t>
  </si>
  <si>
    <t>EDE-C</t>
  </si>
  <si>
    <t>EDE-S</t>
  </si>
  <si>
    <t>AUGMENTIN</t>
  </si>
  <si>
    <t>IMIPENEM</t>
  </si>
  <si>
    <t>Antibiotic</t>
  </si>
  <si>
    <t>Disc Potency</t>
  </si>
  <si>
    <t>Resistant (R)</t>
  </si>
  <si>
    <t>Intermediate (I)</t>
  </si>
  <si>
    <t>Sensitive (S)</t>
  </si>
  <si>
    <t>Imipenem</t>
  </si>
  <si>
    <t>10 μg</t>
  </si>
  <si>
    <t>≤19 mm</t>
  </si>
  <si>
    <t>20–22 mm</t>
  </si>
  <si>
    <t>≥23 mm</t>
  </si>
  <si>
    <t>Ceftazidime</t>
  </si>
  <si>
    <t>30 μg</t>
  </si>
  <si>
    <t>≤17 mm</t>
  </si>
  <si>
    <t>18–20 mm</t>
  </si>
  <si>
    <t>≥21 mm</t>
  </si>
  <si>
    <t>Gentamicin</t>
  </si>
  <si>
    <t>≤12 mm</t>
  </si>
  <si>
    <t>13–14 mm</t>
  </si>
  <si>
    <t>≥15 mm</t>
  </si>
  <si>
    <t>Augmentin</t>
  </si>
  <si>
    <t>20/10 μg</t>
  </si>
  <si>
    <t>≤13 mm</t>
  </si>
  <si>
    <t>14–17 mm</t>
  </si>
  <si>
    <t>≥18 mm</t>
  </si>
  <si>
    <t>Ciprofloxacin</t>
  </si>
  <si>
    <t>5 μg</t>
  </si>
  <si>
    <t>≤21 mm</t>
  </si>
  <si>
    <t>22–25 mm</t>
  </si>
  <si>
    <t>≥26 mm</t>
  </si>
  <si>
    <t>STATUS</t>
  </si>
  <si>
    <t>Sensitive</t>
  </si>
  <si>
    <t>Intermediate</t>
  </si>
  <si>
    <t>Resistant</t>
  </si>
  <si>
    <t>Row Labels</t>
  </si>
  <si>
    <t>Grand Total</t>
  </si>
  <si>
    <t>Count of IMIPENEM</t>
  </si>
  <si>
    <t>Column Labels</t>
  </si>
  <si>
    <t>Count of CEFTAZIDIME</t>
  </si>
  <si>
    <t>Count of GENTAMICIN</t>
  </si>
  <si>
    <t>Count of AUGMENTIN</t>
  </si>
  <si>
    <t>Count of CIPROFLOXACIN</t>
  </si>
  <si>
    <t>Butcher table</t>
  </si>
  <si>
    <t>Surrounding soil</t>
  </si>
  <si>
    <t>Concrete slab</t>
  </si>
  <si>
    <t>Ede</t>
  </si>
  <si>
    <t>Ife</t>
  </si>
  <si>
    <t>Iwo</t>
  </si>
  <si>
    <t>Osu</t>
  </si>
  <si>
    <t>Sample Source</t>
  </si>
  <si>
    <t>Imipenem Status</t>
  </si>
  <si>
    <t>Ceftazidime Status</t>
  </si>
  <si>
    <t>Gentamicin Status</t>
  </si>
  <si>
    <t>Ciprofloxacin Status</t>
  </si>
  <si>
    <t>Resistance Count</t>
  </si>
  <si>
    <t>Augmentin Status</t>
  </si>
  <si>
    <t>Town</t>
  </si>
  <si>
    <t>Resistance Category</t>
  </si>
  <si>
    <t>Isolate_ID</t>
  </si>
  <si>
    <t>IFE-001</t>
  </si>
  <si>
    <t>IFE-002</t>
  </si>
  <si>
    <t>IFE-003</t>
  </si>
  <si>
    <t>IFE-004</t>
  </si>
  <si>
    <t>IFE-005</t>
  </si>
  <si>
    <t>IFE-006</t>
  </si>
  <si>
    <t>IFE-007</t>
  </si>
  <si>
    <t>IFE-008</t>
  </si>
  <si>
    <t>IFE-009</t>
  </si>
  <si>
    <t>IFE-010</t>
  </si>
  <si>
    <t>IFE-011</t>
  </si>
  <si>
    <t>IFE-012</t>
  </si>
  <si>
    <t>IFE-013</t>
  </si>
  <si>
    <t>IFE-014</t>
  </si>
  <si>
    <t>IFE-015</t>
  </si>
  <si>
    <t>IFE-016</t>
  </si>
  <si>
    <t>IFE-017</t>
  </si>
  <si>
    <t>IFE-018</t>
  </si>
  <si>
    <t>IFE-019</t>
  </si>
  <si>
    <t>IFE-020</t>
  </si>
  <si>
    <t>IFE-021</t>
  </si>
  <si>
    <t>IFE-022</t>
  </si>
  <si>
    <t>IFE-023</t>
  </si>
  <si>
    <t>IFE-024</t>
  </si>
  <si>
    <t>IFE-025</t>
  </si>
  <si>
    <t>IFE-026</t>
  </si>
  <si>
    <t>IFE-027</t>
  </si>
  <si>
    <t>IFE-028</t>
  </si>
  <si>
    <t>IFE-029</t>
  </si>
  <si>
    <t>IFE-030</t>
  </si>
  <si>
    <t>IFE-031</t>
  </si>
  <si>
    <t>IFE-032</t>
  </si>
  <si>
    <t>IFE-033</t>
  </si>
  <si>
    <t>IFE-034</t>
  </si>
  <si>
    <t>IFE-035</t>
  </si>
  <si>
    <t>IFE-036</t>
  </si>
  <si>
    <t>IFE-037</t>
  </si>
  <si>
    <t>IFE-038</t>
  </si>
  <si>
    <t>IFE-039</t>
  </si>
  <si>
    <t>IFE-040</t>
  </si>
  <si>
    <t>IFE-041</t>
  </si>
  <si>
    <t>IFE-042</t>
  </si>
  <si>
    <t>IFE-043</t>
  </si>
  <si>
    <t>IFE-044</t>
  </si>
  <si>
    <t>IFE-045</t>
  </si>
  <si>
    <t>IFE-046</t>
  </si>
  <si>
    <t>IFE-047</t>
  </si>
  <si>
    <t>IFE-048</t>
  </si>
  <si>
    <t>IFE-049</t>
  </si>
  <si>
    <t>IFE-050</t>
  </si>
  <si>
    <t>IFE-051</t>
  </si>
  <si>
    <t>IFE-052</t>
  </si>
  <si>
    <t>IFE-053</t>
  </si>
  <si>
    <t>IFE-054</t>
  </si>
  <si>
    <t>IFE-055</t>
  </si>
  <si>
    <t>IFE-056</t>
  </si>
  <si>
    <t>IFE-057</t>
  </si>
  <si>
    <t>IFE-058</t>
  </si>
  <si>
    <t>IFE-059</t>
  </si>
  <si>
    <t>IFE-060</t>
  </si>
  <si>
    <t>IFE-061</t>
  </si>
  <si>
    <t>IFE-062</t>
  </si>
  <si>
    <t>IFE-063</t>
  </si>
  <si>
    <t>IFE-064</t>
  </si>
  <si>
    <t>IFE-065</t>
  </si>
  <si>
    <t>IFE-066</t>
  </si>
  <si>
    <t>IFE-067</t>
  </si>
  <si>
    <t>IFE-068</t>
  </si>
  <si>
    <t>IFE-069</t>
  </si>
  <si>
    <t>IFE-070</t>
  </si>
  <si>
    <t>IFE-071</t>
  </si>
  <si>
    <t>IFE-072</t>
  </si>
  <si>
    <t>IFE-073</t>
  </si>
  <si>
    <t>OSU-001</t>
  </si>
  <si>
    <t>OSU-002</t>
  </si>
  <si>
    <t>OSU-003</t>
  </si>
  <si>
    <t>OSU-004</t>
  </si>
  <si>
    <t>OSU-005</t>
  </si>
  <si>
    <t>OSU-006</t>
  </si>
  <si>
    <t>OSU-007</t>
  </si>
  <si>
    <t>OSU-008</t>
  </si>
  <si>
    <t>OSU-009</t>
  </si>
  <si>
    <t>OSU-010</t>
  </si>
  <si>
    <t>OSU-011</t>
  </si>
  <si>
    <t>OSU-012</t>
  </si>
  <si>
    <t>OSU-013</t>
  </si>
  <si>
    <t>OSU-014</t>
  </si>
  <si>
    <t>OSU-015</t>
  </si>
  <si>
    <t>OSU-016</t>
  </si>
  <si>
    <t>OSU-017</t>
  </si>
  <si>
    <t>OSU-018</t>
  </si>
  <si>
    <t>OSU-019</t>
  </si>
  <si>
    <t>OSU-020</t>
  </si>
  <si>
    <t>OSU-021</t>
  </si>
  <si>
    <t>OSU-022</t>
  </si>
  <si>
    <t>OSU-023</t>
  </si>
  <si>
    <t>OSU-024</t>
  </si>
  <si>
    <t>OSU-025</t>
  </si>
  <si>
    <t>OSU-026</t>
  </si>
  <si>
    <t>OSU-027</t>
  </si>
  <si>
    <t>OSU-028</t>
  </si>
  <si>
    <t>OSU-029</t>
  </si>
  <si>
    <t>OSU-030</t>
  </si>
  <si>
    <t>OSU-031</t>
  </si>
  <si>
    <t>OSU-032</t>
  </si>
  <si>
    <t>OSU-033</t>
  </si>
  <si>
    <t>OSU-034</t>
  </si>
  <si>
    <t>OSU-035</t>
  </si>
  <si>
    <t>OSU-036</t>
  </si>
  <si>
    <t>OSU-037</t>
  </si>
  <si>
    <t>OSU-038</t>
  </si>
  <si>
    <t>OSU-039</t>
  </si>
  <si>
    <t>OSU-040</t>
  </si>
  <si>
    <t>OSU-041</t>
  </si>
  <si>
    <t>OSU-042</t>
  </si>
  <si>
    <t>OSU-043</t>
  </si>
  <si>
    <t>OSU-044</t>
  </si>
  <si>
    <t>OSU-045</t>
  </si>
  <si>
    <t>OSU-046</t>
  </si>
  <si>
    <t>OSU-047</t>
  </si>
  <si>
    <t>OSU-048</t>
  </si>
  <si>
    <t>OSU-049</t>
  </si>
  <si>
    <t>OSU-050</t>
  </si>
  <si>
    <t>OSU-051</t>
  </si>
  <si>
    <t>OSU-052</t>
  </si>
  <si>
    <t>OSU-053</t>
  </si>
  <si>
    <t>OSU-054</t>
  </si>
  <si>
    <t>OSU-055</t>
  </si>
  <si>
    <t>OSU-056</t>
  </si>
  <si>
    <t>OSU-057</t>
  </si>
  <si>
    <t>OSU-058</t>
  </si>
  <si>
    <t>OSU-059</t>
  </si>
  <si>
    <t>OSU-060</t>
  </si>
  <si>
    <t>OSU-061</t>
  </si>
  <si>
    <t>OSU-062</t>
  </si>
  <si>
    <t>OSU-063</t>
  </si>
  <si>
    <t>OSU-064</t>
  </si>
  <si>
    <t>OSU-065</t>
  </si>
  <si>
    <t>OSU-066</t>
  </si>
  <si>
    <t>OSU-067</t>
  </si>
  <si>
    <t>OSU-068</t>
  </si>
  <si>
    <t>OSU-069</t>
  </si>
  <si>
    <t>IWO-001</t>
  </si>
  <si>
    <t>IWO-002</t>
  </si>
  <si>
    <t>IWO-003</t>
  </si>
  <si>
    <t>IWO-004</t>
  </si>
  <si>
    <t>IWO-005</t>
  </si>
  <si>
    <t>IWO-006</t>
  </si>
  <si>
    <t>IWO-007</t>
  </si>
  <si>
    <t>IWO-008</t>
  </si>
  <si>
    <t>IWO-009</t>
  </si>
  <si>
    <t>IWO-010</t>
  </si>
  <si>
    <t>IWO-011</t>
  </si>
  <si>
    <t>IWO-012</t>
  </si>
  <si>
    <t>IWO-013</t>
  </si>
  <si>
    <t>IWO-014</t>
  </si>
  <si>
    <t>IWO-015</t>
  </si>
  <si>
    <t>IWO-016</t>
  </si>
  <si>
    <t>IWO-017</t>
  </si>
  <si>
    <t>IWO-018</t>
  </si>
  <si>
    <t>IWO-019</t>
  </si>
  <si>
    <t>IWO-020</t>
  </si>
  <si>
    <t>IWO-021</t>
  </si>
  <si>
    <t>IWO-022</t>
  </si>
  <si>
    <t>IWO-023</t>
  </si>
  <si>
    <t>IWO-024</t>
  </si>
  <si>
    <t>IWO-025</t>
  </si>
  <si>
    <t>IWO-026</t>
  </si>
  <si>
    <t>IWO-027</t>
  </si>
  <si>
    <t>IWO-028</t>
  </si>
  <si>
    <t>IWO-029</t>
  </si>
  <si>
    <t>IWO-030</t>
  </si>
  <si>
    <t>IWO-031</t>
  </si>
  <si>
    <t>IWO-032</t>
  </si>
  <si>
    <t>IWO-033</t>
  </si>
  <si>
    <t>IWO-034</t>
  </si>
  <si>
    <t>IWO-035</t>
  </si>
  <si>
    <t>IWO-036</t>
  </si>
  <si>
    <t>IWO-037</t>
  </si>
  <si>
    <t>IWO-038</t>
  </si>
  <si>
    <t>IWO-039</t>
  </si>
  <si>
    <t>IWO-040</t>
  </si>
  <si>
    <t>IWO-041</t>
  </si>
  <si>
    <t>IWO-042</t>
  </si>
  <si>
    <t>IWO-043</t>
  </si>
  <si>
    <t>IWO-044</t>
  </si>
  <si>
    <t>IWO-045</t>
  </si>
  <si>
    <t>IWO-046</t>
  </si>
  <si>
    <t>IWO-047</t>
  </si>
  <si>
    <t>IWO-048</t>
  </si>
  <si>
    <t>IWO-049</t>
  </si>
  <si>
    <t>IWO-050</t>
  </si>
  <si>
    <t>IWO-051</t>
  </si>
  <si>
    <t>IWO-052</t>
  </si>
  <si>
    <t>IWO-053</t>
  </si>
  <si>
    <t>IWO-054</t>
  </si>
  <si>
    <t>IWO-055</t>
  </si>
  <si>
    <t>IWO-056</t>
  </si>
  <si>
    <t>IWO-057</t>
  </si>
  <si>
    <t>IWO-058</t>
  </si>
  <si>
    <t>IWO-059</t>
  </si>
  <si>
    <t>IWO-060</t>
  </si>
  <si>
    <t>IWO-061</t>
  </si>
  <si>
    <t>IWO-062</t>
  </si>
  <si>
    <t>IWO-063</t>
  </si>
  <si>
    <t>IWO-064</t>
  </si>
  <si>
    <t>IWO-065</t>
  </si>
  <si>
    <t>IWO-066</t>
  </si>
  <si>
    <t>IWO-067</t>
  </si>
  <si>
    <t>IWO-068</t>
  </si>
  <si>
    <t>IWO-069</t>
  </si>
  <si>
    <t>EDE-001</t>
  </si>
  <si>
    <t>EDE-002</t>
  </si>
  <si>
    <t>EDE-003</t>
  </si>
  <si>
    <t>EDE-004</t>
  </si>
  <si>
    <t>EDE-005</t>
  </si>
  <si>
    <t>EDE-006</t>
  </si>
  <si>
    <t>EDE-007</t>
  </si>
  <si>
    <t>EDE-008</t>
  </si>
  <si>
    <t>EDE-009</t>
  </si>
  <si>
    <t>EDE-010</t>
  </si>
  <si>
    <t>EDE-011</t>
  </si>
  <si>
    <t>EDE-012</t>
  </si>
  <si>
    <t>EDE-013</t>
  </si>
  <si>
    <t>EDE-014</t>
  </si>
  <si>
    <t>EDE-015</t>
  </si>
  <si>
    <t>EDE-016</t>
  </si>
  <si>
    <t>EDE-017</t>
  </si>
  <si>
    <t>EDE-018</t>
  </si>
  <si>
    <t>EDE-019</t>
  </si>
  <si>
    <t>EDE-020</t>
  </si>
  <si>
    <t>EDE-021</t>
  </si>
  <si>
    <t>EDE-022</t>
  </si>
  <si>
    <t>EDE-023</t>
  </si>
  <si>
    <t>EDE-024</t>
  </si>
  <si>
    <t>EDE-025</t>
  </si>
  <si>
    <t>EDE-026</t>
  </si>
  <si>
    <t>EDE-027</t>
  </si>
  <si>
    <t>EDE-028</t>
  </si>
  <si>
    <t>EDE-029</t>
  </si>
  <si>
    <t>EDE-030</t>
  </si>
  <si>
    <t>EDE-031</t>
  </si>
  <si>
    <t>EDE-032</t>
  </si>
  <si>
    <t>EDE-033</t>
  </si>
  <si>
    <t>EDE-034</t>
  </si>
  <si>
    <t>EDE-035</t>
  </si>
  <si>
    <t>EDE-036</t>
  </si>
  <si>
    <t>EDE-037</t>
  </si>
  <si>
    <t>EDE-038</t>
  </si>
  <si>
    <t>EDE-039</t>
  </si>
  <si>
    <t>EDE-040</t>
  </si>
  <si>
    <t>EDE-041</t>
  </si>
  <si>
    <t>EDE-042</t>
  </si>
  <si>
    <t>EDE-043</t>
  </si>
  <si>
    <t>EDE-044</t>
  </si>
  <si>
    <t>EDE-045</t>
  </si>
  <si>
    <t>EDE-046</t>
  </si>
  <si>
    <t>EDE-047</t>
  </si>
  <si>
    <t>EDE-048</t>
  </si>
  <si>
    <t>EDE-049</t>
  </si>
  <si>
    <t>EDE-050</t>
  </si>
  <si>
    <t>EDE-051</t>
  </si>
  <si>
    <t>EDE-052</t>
  </si>
  <si>
    <t>EDE-053</t>
  </si>
  <si>
    <t>EDE-054</t>
  </si>
  <si>
    <t>EDE-055</t>
  </si>
  <si>
    <t>EDE-056</t>
  </si>
  <si>
    <t>EDE-057</t>
  </si>
  <si>
    <t>EDE-058</t>
  </si>
  <si>
    <t>EDE-059</t>
  </si>
  <si>
    <t>EDE-060</t>
  </si>
  <si>
    <t>EDE-061</t>
  </si>
  <si>
    <t>EDE-062</t>
  </si>
  <si>
    <t>EDE-063</t>
  </si>
  <si>
    <t>Antibiotics</t>
  </si>
  <si>
    <t>No. of Isolates</t>
  </si>
  <si>
    <t>% Sensitivity</t>
  </si>
  <si>
    <t>% Resistant</t>
  </si>
  <si>
    <t>% Intermediate</t>
  </si>
  <si>
    <t>% Resistance</t>
  </si>
  <si>
    <t>Butcher Table</t>
  </si>
  <si>
    <t>Concrete Slab</t>
  </si>
  <si>
    <t>Surrounding Table</t>
  </si>
  <si>
    <t>Count of Imipenem Status</t>
  </si>
  <si>
    <t>Count of Ciprofloxacin Status</t>
  </si>
  <si>
    <t>Count of Ceftazidime Status</t>
  </si>
  <si>
    <t>Count of Gentamicin Status</t>
  </si>
  <si>
    <t>Count of Augmentin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</si>
</sst>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50505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2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0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0" fillId="5" borderId="2" xfId="0" applyFont="1" applyFill="1" applyBorder="1"/>
    <xf numFmtId="0" fontId="5" fillId="3" borderId="0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0" fontId="3" fillId="4" borderId="7" xfId="0" applyFont="1" applyFill="1" applyBorder="1"/>
    <xf numFmtId="0" fontId="0" fillId="2" borderId="4" xfId="0" applyFont="1" applyFill="1" applyBorder="1"/>
    <xf numFmtId="0" fontId="0" fillId="4" borderId="4" xfId="0" applyFont="1" applyFill="1" applyBorder="1"/>
    <xf numFmtId="0" fontId="2" fillId="4" borderId="8" xfId="0" applyFont="1" applyFill="1" applyBorder="1" applyAlignment="1">
      <alignment horizontal="left" vertical="center" indent="1"/>
    </xf>
    <xf numFmtId="0" fontId="0" fillId="5" borderId="9" xfId="0" applyFont="1" applyFill="1" applyBorder="1"/>
    <xf numFmtId="0" fontId="3" fillId="5" borderId="2" xfId="0" applyFont="1" applyFill="1" applyBorder="1"/>
    <xf numFmtId="0" fontId="0" fillId="5" borderId="4" xfId="0" applyFont="1" applyFill="1" applyBorder="1"/>
    <xf numFmtId="0" fontId="2" fillId="5" borderId="10" xfId="0" applyFont="1" applyFill="1" applyBorder="1" applyAlignment="1">
      <alignment horizontal="left" vertical="center" indent="1"/>
    </xf>
    <xf numFmtId="0" fontId="0" fillId="4" borderId="9" xfId="0" applyFont="1" applyFill="1" applyBorder="1"/>
    <xf numFmtId="0" fontId="0" fillId="4" borderId="2" xfId="0" applyFont="1" applyFill="1" applyBorder="1"/>
    <xf numFmtId="0" fontId="3" fillId="4" borderId="2" xfId="0" applyFont="1" applyFill="1" applyBorder="1"/>
    <xf numFmtId="0" fontId="2" fillId="4" borderId="10" xfId="0" applyFont="1" applyFill="1" applyBorder="1" applyAlignment="1">
      <alignment horizontal="left" vertical="center" indent="1"/>
    </xf>
    <xf numFmtId="0" fontId="2" fillId="5" borderId="2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left" vertical="center" indent="1"/>
    </xf>
    <xf numFmtId="0" fontId="0" fillId="2" borderId="11" xfId="0" applyFont="1" applyFill="1" applyBorder="1"/>
    <xf numFmtId="10" fontId="1" fillId="0" borderId="0" xfId="0" applyNumberFormat="1" applyFont="1"/>
    <xf numFmtId="10" fontId="1" fillId="0" borderId="0" xfId="1" applyNumberFormat="1" applyFont="1"/>
    <xf numFmtId="10" fontId="0" fillId="0" borderId="0" xfId="1" applyNumberFormat="1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0" xfId="1" applyNumberFormat="1" applyFont="1"/>
    <xf numFmtId="164" fontId="1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se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se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3" refreshedDate="46113.710167939818" createdVersion="6" refreshedVersion="6" minRefreshableVersion="3" recordCount="274" xr:uid="{1A8F03FB-4B14-4065-861F-6735DE47A678}">
  <cacheSource type="worksheet">
    <worksheetSource ref="A1:M275" sheet="Sheet1" r:id="rId2"/>
  </cacheSource>
  <cacheFields count="11">
    <cacheField name="Location" numFmtId="0">
      <sharedItems count="12">
        <s v="IFE-T"/>
        <s v="IFE-C"/>
        <s v="IFE-S"/>
        <s v="OSU-T"/>
        <s v="OSU-C"/>
        <s v="OSU-S"/>
        <s v="IWO-T"/>
        <s v="IWO-C"/>
        <s v="IWO-S"/>
        <s v="EDE-T"/>
        <s v="EDE-C"/>
        <s v="EDE-S"/>
      </sharedItems>
    </cacheField>
    <cacheField name="IMIPENEM" numFmtId="0">
      <sharedItems containsSemiMixedTypes="0" containsString="0" containsNumber="1" containsInteger="1" minValue="0" maxValue="40" count="28">
        <n v="25"/>
        <n v="30"/>
        <n v="20"/>
        <n v="22"/>
        <n v="28"/>
        <n v="27"/>
        <n v="24"/>
        <n v="35"/>
        <n v="18"/>
        <n v="16"/>
        <n v="37"/>
        <n v="21"/>
        <n v="26"/>
        <n v="19"/>
        <n v="17"/>
        <n v="15"/>
        <n v="23"/>
        <n v="40"/>
        <n v="7"/>
        <n v="29"/>
        <n v="39"/>
        <n v="36"/>
        <n v="32"/>
        <n v="0"/>
        <n v="33"/>
        <n v="14"/>
        <n v="31"/>
        <n v="34"/>
      </sharedItems>
    </cacheField>
    <cacheField name="I RESPONSE" numFmtId="0">
      <sharedItems count="3">
        <s v="Sensitive"/>
        <s v="Intermediate"/>
        <s v="Resistant"/>
      </sharedItems>
    </cacheField>
    <cacheField name="CEFTAZIDIME" numFmtId="0">
      <sharedItems containsSemiMixedTypes="0" containsString="0" containsNumber="1" containsInteger="1" minValue="0" maxValue="32"/>
    </cacheField>
    <cacheField name="CE RESPONSE" numFmtId="0">
      <sharedItems count="3">
        <s v="Intermediate"/>
        <s v="Sensitive"/>
        <s v="Resistant"/>
      </sharedItems>
    </cacheField>
    <cacheField name="GENTAMICIN" numFmtId="0">
      <sharedItems containsSemiMixedTypes="0" containsString="0" containsNumber="1" containsInteger="1" minValue="0" maxValue="30"/>
    </cacheField>
    <cacheField name="G RESPONSE" numFmtId="0">
      <sharedItems count="3">
        <s v="Sensitive"/>
        <s v="Resistant"/>
        <s v="Intermediate"/>
      </sharedItems>
    </cacheField>
    <cacheField name="AUGMENTIN" numFmtId="0">
      <sharedItems containsSemiMixedTypes="0" containsString="0" containsNumber="1" containsInteger="1" minValue="0" maxValue="35"/>
    </cacheField>
    <cacheField name="A RESPONSE" numFmtId="0">
      <sharedItems count="3">
        <s v="Intermediate"/>
        <s v="Sensitive"/>
        <s v="Resistant"/>
      </sharedItems>
    </cacheField>
    <cacheField name="CIPROFLOXACIN" numFmtId="0">
      <sharedItems containsSemiMixedTypes="0" containsString="0" containsNumber="1" containsInteger="1" minValue="0" maxValue="35"/>
    </cacheField>
    <cacheField name="CI RESPON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3" refreshedDate="46115.858812847226" createdVersion="6" refreshedVersion="6" minRefreshableVersion="3" recordCount="274" xr:uid="{4E080222-DF2C-4AE4-A6C1-24D73FB3D36B}">
  <cacheSource type="worksheet">
    <worksheetSource ref="A1:O275" sheet="Sheet1" r:id="rId2"/>
  </cacheSource>
  <cacheFields count="15">
    <cacheField name="Site ID" numFmtId="0">
      <sharedItems count="12">
        <s v="IFE-T"/>
        <s v="IFE-C"/>
        <s v="IFE-S"/>
        <s v="OSU-T"/>
        <s v="OSU-C"/>
        <s v="OSU-S"/>
        <s v="IWO-T"/>
        <s v="IWO-C"/>
        <s v="IWO-S"/>
        <s v="EDE-T"/>
        <s v="EDE-C"/>
        <s v="EDE-S"/>
      </sharedItems>
    </cacheField>
    <cacheField name="Town" numFmtId="0">
      <sharedItems count="4">
        <s v="Ife"/>
        <s v="Osu"/>
        <s v="Iwo"/>
        <s v="Ede"/>
      </sharedItems>
    </cacheField>
    <cacheField name="Sample Source" numFmtId="0">
      <sharedItems count="3">
        <s v="Butcher table"/>
        <s v="Concrete slab"/>
        <s v="Surrounding soil"/>
      </sharedItems>
    </cacheField>
    <cacheField name="IMIPENEM" numFmtId="0">
      <sharedItems containsSemiMixedTypes="0" containsString="0" containsNumber="1" containsInteger="1" minValue="0" maxValue="40" count="28">
        <n v="25"/>
        <n v="30"/>
        <n v="20"/>
        <n v="22"/>
        <n v="28"/>
        <n v="27"/>
        <n v="24"/>
        <n v="35"/>
        <n v="18"/>
        <n v="16"/>
        <n v="37"/>
        <n v="21"/>
        <n v="26"/>
        <n v="19"/>
        <n v="17"/>
        <n v="15"/>
        <n v="23"/>
        <n v="40"/>
        <n v="7"/>
        <n v="29"/>
        <n v="39"/>
        <n v="36"/>
        <n v="32"/>
        <n v="0"/>
        <n v="33"/>
        <n v="14"/>
        <n v="31"/>
        <n v="34"/>
      </sharedItems>
    </cacheField>
    <cacheField name="Imipenem Status" numFmtId="0">
      <sharedItems count="3">
        <s v="Sensitive"/>
        <s v="Intermediate"/>
        <s v="Resistant"/>
      </sharedItems>
    </cacheField>
    <cacheField name="CEFTAZIDIME" numFmtId="0">
      <sharedItems containsSemiMixedTypes="0" containsString="0" containsNumber="1" containsInteger="1" minValue="0" maxValue="32"/>
    </cacheField>
    <cacheField name="Ceftazidime Status" numFmtId="0">
      <sharedItems count="3">
        <s v="Intermediate"/>
        <s v="Sensitive"/>
        <s v="Resistant"/>
      </sharedItems>
    </cacheField>
    <cacheField name="GENTAMICIN" numFmtId="0">
      <sharedItems containsSemiMixedTypes="0" containsString="0" containsNumber="1" containsInteger="1" minValue="0" maxValue="30"/>
    </cacheField>
    <cacheField name="Gentamicin Status" numFmtId="0">
      <sharedItems count="3">
        <s v="Sensitive"/>
        <s v="Resistant"/>
        <s v="Intermediate"/>
      </sharedItems>
    </cacheField>
    <cacheField name="AUGMENTIN" numFmtId="0">
      <sharedItems containsSemiMixedTypes="0" containsString="0" containsNumber="1" containsInteger="1" minValue="0" maxValue="35"/>
    </cacheField>
    <cacheField name="Augmentin Status" numFmtId="0">
      <sharedItems count="3">
        <s v="Intermediate"/>
        <s v="Sensitive"/>
        <s v="Resistant"/>
      </sharedItems>
    </cacheField>
    <cacheField name="CIPROFLOXACIN" numFmtId="0">
      <sharedItems containsSemiMixedTypes="0" containsString="0" containsNumber="1" containsInteger="1" minValue="0" maxValue="35"/>
    </cacheField>
    <cacheField name="Ciprofloxacin Status" numFmtId="0">
      <sharedItems count="3">
        <s v="Sensitive"/>
        <s v="Intermediate"/>
        <s v="Resistant"/>
      </sharedItems>
    </cacheField>
    <cacheField name="Resistance Count" numFmtId="0">
      <sharedItems containsSemiMixedTypes="0" containsString="0" containsNumber="1" containsInteger="1" minValue="0" maxValue="5"/>
    </cacheField>
    <cacheField name="Resistance Category" numFmtId="0">
      <sharedItems count="4">
        <s v="Susceptible"/>
        <s v="MDR"/>
        <s v="XDR"/>
        <s v="XDR*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3" refreshedDate="46121.484385300922" createdVersion="6" refreshedVersion="6" minRefreshableVersion="3" recordCount="20" xr:uid="{7533AB36-3098-4537-863D-4A3DC32EC1CD}">
  <cacheSource type="worksheet">
    <worksheetSource ref="A1:I21" sheet="Antibiotics"/>
  </cacheSource>
  <cacheFields count="9">
    <cacheField name="Antibiotics" numFmtId="0">
      <sharedItems/>
    </cacheField>
    <cacheField name="Town" numFmtId="0">
      <sharedItems count="4">
        <s v="Ife"/>
        <s v="Iwo"/>
        <s v="Osu"/>
        <s v="Ede"/>
      </sharedItems>
    </cacheField>
    <cacheField name="No. of Isolates" numFmtId="0">
      <sharedItems containsSemiMixedTypes="0" containsString="0" containsNumber="1" containsInteger="1" minValue="63" maxValue="73"/>
    </cacheField>
    <cacheField name="Sensitive" numFmtId="0">
      <sharedItems containsSemiMixedTypes="0" containsString="0" containsNumber="1" containsInteger="1" minValue="5" maxValue="59"/>
    </cacheField>
    <cacheField name="% Sensitivity" numFmtId="10">
      <sharedItems containsSemiMixedTypes="0" containsString="0" containsNumber="1" minValue="7.2463768115942032E-2" maxValue="0.87301587301587302"/>
    </cacheField>
    <cacheField name="Intermediate" numFmtId="0">
      <sharedItems containsSemiMixedTypes="0" containsString="0" containsNumber="1" containsInteger="1" minValue="1" maxValue="35"/>
    </cacheField>
    <cacheField name="% Intermediate" numFmtId="10">
      <sharedItems containsSemiMixedTypes="0" containsString="0" containsNumber="1" minValue="1.3698630136986301E-2" maxValue="0.47945205479452052"/>
    </cacheField>
    <cacheField name="Resistant" numFmtId="0">
      <sharedItems containsSemiMixedTypes="0" containsString="0" containsNumber="1" containsInteger="1" minValue="3" maxValue="59"/>
    </cacheField>
    <cacheField name="% Resistance" numFmtId="10">
      <sharedItems containsSemiMixedTypes="0" containsString="0" containsNumber="1" minValue="4.7619047619047616E-2" maxValue="0.85507246376811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x v="0"/>
    <x v="0"/>
    <x v="0"/>
    <n v="20"/>
    <x v="0"/>
    <n v="20"/>
    <x v="0"/>
    <n v="15"/>
    <x v="0"/>
    <n v="28"/>
    <s v="Sensitive"/>
  </r>
  <r>
    <x v="0"/>
    <x v="0"/>
    <x v="0"/>
    <n v="25"/>
    <x v="1"/>
    <n v="20"/>
    <x v="0"/>
    <n v="20"/>
    <x v="1"/>
    <n v="30"/>
    <s v="Sensitive"/>
  </r>
  <r>
    <x v="0"/>
    <x v="1"/>
    <x v="0"/>
    <n v="10"/>
    <x v="2"/>
    <n v="20"/>
    <x v="0"/>
    <n v="20"/>
    <x v="1"/>
    <n v="25"/>
    <s v="Intermediate"/>
  </r>
  <r>
    <x v="0"/>
    <x v="0"/>
    <x v="0"/>
    <n v="20"/>
    <x v="0"/>
    <n v="20"/>
    <x v="0"/>
    <n v="25"/>
    <x v="1"/>
    <n v="28"/>
    <s v="Sensitive"/>
  </r>
  <r>
    <x v="0"/>
    <x v="0"/>
    <x v="0"/>
    <n v="7"/>
    <x v="2"/>
    <n v="20"/>
    <x v="0"/>
    <n v="20"/>
    <x v="1"/>
    <n v="22"/>
    <s v="Intermediate"/>
  </r>
  <r>
    <x v="0"/>
    <x v="0"/>
    <x v="0"/>
    <n v="0"/>
    <x v="2"/>
    <n v="15"/>
    <x v="0"/>
    <n v="15"/>
    <x v="0"/>
    <n v="25"/>
    <s v="Intermediate"/>
  </r>
  <r>
    <x v="0"/>
    <x v="2"/>
    <x v="1"/>
    <n v="0"/>
    <x v="2"/>
    <n v="22"/>
    <x v="0"/>
    <n v="10"/>
    <x v="2"/>
    <n v="22"/>
    <s v="Intermediate"/>
  </r>
  <r>
    <x v="0"/>
    <x v="0"/>
    <x v="0"/>
    <n v="25"/>
    <x v="1"/>
    <n v="18"/>
    <x v="0"/>
    <n v="18"/>
    <x v="1"/>
    <n v="22"/>
    <s v="Intermediate"/>
  </r>
  <r>
    <x v="0"/>
    <x v="3"/>
    <x v="1"/>
    <n v="0"/>
    <x v="2"/>
    <n v="12"/>
    <x v="1"/>
    <n v="12"/>
    <x v="2"/>
    <n v="22"/>
    <s v="Intermediate"/>
  </r>
  <r>
    <x v="0"/>
    <x v="2"/>
    <x v="1"/>
    <n v="0"/>
    <x v="2"/>
    <n v="10"/>
    <x v="1"/>
    <n v="10"/>
    <x v="2"/>
    <n v="22"/>
    <s v="Intermediate"/>
  </r>
  <r>
    <x v="0"/>
    <x v="4"/>
    <x v="0"/>
    <n v="20"/>
    <x v="0"/>
    <n v="18"/>
    <x v="0"/>
    <n v="20"/>
    <x v="1"/>
    <n v="25"/>
    <s v="Intermediate"/>
  </r>
  <r>
    <x v="0"/>
    <x v="5"/>
    <x v="0"/>
    <n v="27"/>
    <x v="1"/>
    <n v="20"/>
    <x v="0"/>
    <n v="20"/>
    <x v="1"/>
    <n v="28"/>
    <s v="Sensitive"/>
  </r>
  <r>
    <x v="0"/>
    <x v="3"/>
    <x v="1"/>
    <n v="12"/>
    <x v="2"/>
    <n v="0"/>
    <x v="1"/>
    <n v="8"/>
    <x v="2"/>
    <n v="0"/>
    <s v="Resistant"/>
  </r>
  <r>
    <x v="0"/>
    <x v="3"/>
    <x v="1"/>
    <n v="0"/>
    <x v="2"/>
    <n v="20"/>
    <x v="0"/>
    <n v="20"/>
    <x v="1"/>
    <n v="20"/>
    <s v="Resistant"/>
  </r>
  <r>
    <x v="0"/>
    <x v="6"/>
    <x v="0"/>
    <n v="15"/>
    <x v="2"/>
    <n v="25"/>
    <x v="0"/>
    <n v="25"/>
    <x v="1"/>
    <n v="20"/>
    <s v="Resistant"/>
  </r>
  <r>
    <x v="0"/>
    <x v="7"/>
    <x v="0"/>
    <n v="20"/>
    <x v="0"/>
    <n v="25"/>
    <x v="0"/>
    <n v="25"/>
    <x v="1"/>
    <n v="30"/>
    <s v="Sensitive"/>
  </r>
  <r>
    <x v="0"/>
    <x v="5"/>
    <x v="0"/>
    <n v="27"/>
    <x v="1"/>
    <n v="20"/>
    <x v="0"/>
    <n v="20"/>
    <x v="1"/>
    <n v="0"/>
    <s v="Resistant"/>
  </r>
  <r>
    <x v="0"/>
    <x v="2"/>
    <x v="1"/>
    <n v="22"/>
    <x v="1"/>
    <n v="0"/>
    <x v="1"/>
    <n v="0"/>
    <x v="2"/>
    <n v="0"/>
    <s v="Resistant"/>
  </r>
  <r>
    <x v="0"/>
    <x v="0"/>
    <x v="0"/>
    <n v="25"/>
    <x v="1"/>
    <n v="13"/>
    <x v="2"/>
    <n v="20"/>
    <x v="1"/>
    <n v="22"/>
    <s v="Intermediate"/>
  </r>
  <r>
    <x v="0"/>
    <x v="8"/>
    <x v="2"/>
    <n v="27"/>
    <x v="1"/>
    <n v="20"/>
    <x v="0"/>
    <n v="0"/>
    <x v="2"/>
    <n v="25"/>
    <s v="Intermediate"/>
  </r>
  <r>
    <x v="0"/>
    <x v="5"/>
    <x v="0"/>
    <n v="15"/>
    <x v="2"/>
    <n v="18"/>
    <x v="0"/>
    <n v="15"/>
    <x v="0"/>
    <n v="25"/>
    <s v="Intermediate"/>
  </r>
  <r>
    <x v="0"/>
    <x v="2"/>
    <x v="1"/>
    <n v="22"/>
    <x v="1"/>
    <n v="10"/>
    <x v="1"/>
    <n v="20"/>
    <x v="1"/>
    <n v="22"/>
    <s v="Intermediate"/>
  </r>
  <r>
    <x v="0"/>
    <x v="9"/>
    <x v="2"/>
    <n v="25"/>
    <x v="1"/>
    <n v="20"/>
    <x v="0"/>
    <n v="0"/>
    <x v="2"/>
    <n v="30"/>
    <s v="Sensitive"/>
  </r>
  <r>
    <x v="0"/>
    <x v="2"/>
    <x v="1"/>
    <n v="20"/>
    <x v="0"/>
    <n v="20"/>
    <x v="0"/>
    <n v="20"/>
    <x v="1"/>
    <n v="20"/>
    <s v="Resistant"/>
  </r>
  <r>
    <x v="0"/>
    <x v="2"/>
    <x v="1"/>
    <n v="10"/>
    <x v="2"/>
    <n v="15"/>
    <x v="0"/>
    <n v="0"/>
    <x v="2"/>
    <n v="15"/>
    <s v="Resistant"/>
  </r>
  <r>
    <x v="0"/>
    <x v="1"/>
    <x v="0"/>
    <n v="15"/>
    <x v="2"/>
    <n v="15"/>
    <x v="0"/>
    <n v="12"/>
    <x v="2"/>
    <n v="0"/>
    <s v="Resistant"/>
  </r>
  <r>
    <x v="0"/>
    <x v="10"/>
    <x v="0"/>
    <n v="15"/>
    <x v="2"/>
    <n v="20"/>
    <x v="0"/>
    <n v="24"/>
    <x v="1"/>
    <n v="20"/>
    <s v="Resistant"/>
  </r>
  <r>
    <x v="0"/>
    <x v="8"/>
    <x v="2"/>
    <n v="0"/>
    <x v="2"/>
    <n v="18"/>
    <x v="0"/>
    <n v="10"/>
    <x v="2"/>
    <n v="22"/>
    <s v="Intermediate"/>
  </r>
  <r>
    <x v="0"/>
    <x v="11"/>
    <x v="1"/>
    <n v="18"/>
    <x v="0"/>
    <n v="15"/>
    <x v="0"/>
    <n v="12"/>
    <x v="2"/>
    <n v="25"/>
    <s v="Intermediate"/>
  </r>
  <r>
    <x v="0"/>
    <x v="2"/>
    <x v="1"/>
    <n v="0"/>
    <x v="2"/>
    <n v="12"/>
    <x v="1"/>
    <n v="7"/>
    <x v="2"/>
    <n v="10"/>
    <s v="Resistant"/>
  </r>
  <r>
    <x v="0"/>
    <x v="2"/>
    <x v="1"/>
    <n v="20"/>
    <x v="0"/>
    <n v="19"/>
    <x v="0"/>
    <n v="15"/>
    <x v="0"/>
    <n v="25"/>
    <s v="Intermediate"/>
  </r>
  <r>
    <x v="1"/>
    <x v="0"/>
    <x v="0"/>
    <n v="10"/>
    <x v="2"/>
    <n v="19"/>
    <x v="0"/>
    <n v="23"/>
    <x v="1"/>
    <n v="25"/>
    <s v="Intermediate"/>
  </r>
  <r>
    <x v="1"/>
    <x v="12"/>
    <x v="0"/>
    <n v="10"/>
    <x v="2"/>
    <n v="21"/>
    <x v="0"/>
    <n v="24"/>
    <x v="1"/>
    <n v="25"/>
    <s v="Intermediate"/>
  </r>
  <r>
    <x v="1"/>
    <x v="2"/>
    <x v="1"/>
    <n v="0"/>
    <x v="2"/>
    <n v="12"/>
    <x v="1"/>
    <n v="16"/>
    <x v="0"/>
    <n v="21"/>
    <s v="Resistant"/>
  </r>
  <r>
    <x v="1"/>
    <x v="3"/>
    <x v="1"/>
    <n v="0"/>
    <x v="2"/>
    <n v="18"/>
    <x v="0"/>
    <n v="0"/>
    <x v="2"/>
    <n v="20"/>
    <s v="Resistant"/>
  </r>
  <r>
    <x v="1"/>
    <x v="9"/>
    <x v="2"/>
    <n v="9"/>
    <x v="2"/>
    <n v="16"/>
    <x v="0"/>
    <n v="18"/>
    <x v="1"/>
    <n v="22"/>
    <s v="Intermediate"/>
  </r>
  <r>
    <x v="1"/>
    <x v="8"/>
    <x v="2"/>
    <n v="10"/>
    <x v="2"/>
    <n v="19"/>
    <x v="0"/>
    <n v="8"/>
    <x v="2"/>
    <n v="23"/>
    <s v="Intermediate"/>
  </r>
  <r>
    <x v="1"/>
    <x v="3"/>
    <x v="1"/>
    <n v="11"/>
    <x v="2"/>
    <n v="18"/>
    <x v="0"/>
    <n v="19"/>
    <x v="1"/>
    <n v="25"/>
    <s v="Intermediate"/>
  </r>
  <r>
    <x v="1"/>
    <x v="4"/>
    <x v="0"/>
    <n v="0"/>
    <x v="2"/>
    <n v="20"/>
    <x v="0"/>
    <n v="10"/>
    <x v="2"/>
    <n v="0"/>
    <s v="Resistant"/>
  </r>
  <r>
    <x v="1"/>
    <x v="13"/>
    <x v="2"/>
    <n v="8"/>
    <x v="2"/>
    <n v="20"/>
    <x v="0"/>
    <n v="12"/>
    <x v="2"/>
    <n v="0"/>
    <s v="Resistant"/>
  </r>
  <r>
    <x v="1"/>
    <x v="2"/>
    <x v="1"/>
    <n v="0"/>
    <x v="2"/>
    <n v="17"/>
    <x v="0"/>
    <n v="7"/>
    <x v="2"/>
    <n v="22"/>
    <s v="Intermediate"/>
  </r>
  <r>
    <x v="1"/>
    <x v="3"/>
    <x v="1"/>
    <n v="24"/>
    <x v="1"/>
    <n v="11"/>
    <x v="1"/>
    <n v="9"/>
    <x v="2"/>
    <n v="20"/>
    <s v="Resistant"/>
  </r>
  <r>
    <x v="1"/>
    <x v="9"/>
    <x v="2"/>
    <n v="0"/>
    <x v="2"/>
    <n v="0"/>
    <x v="1"/>
    <n v="8"/>
    <x v="2"/>
    <n v="21"/>
    <s v="Resistant"/>
  </r>
  <r>
    <x v="1"/>
    <x v="14"/>
    <x v="2"/>
    <n v="0"/>
    <x v="2"/>
    <n v="0"/>
    <x v="1"/>
    <n v="12"/>
    <x v="2"/>
    <n v="20"/>
    <s v="Resistant"/>
  </r>
  <r>
    <x v="1"/>
    <x v="8"/>
    <x v="2"/>
    <n v="11"/>
    <x v="2"/>
    <n v="20"/>
    <x v="0"/>
    <n v="15"/>
    <x v="0"/>
    <n v="24"/>
    <s v="Intermediate"/>
  </r>
  <r>
    <x v="1"/>
    <x v="12"/>
    <x v="0"/>
    <n v="11"/>
    <x v="2"/>
    <n v="21"/>
    <x v="0"/>
    <n v="10"/>
    <x v="2"/>
    <n v="23"/>
    <s v="Intermediate"/>
  </r>
  <r>
    <x v="1"/>
    <x v="15"/>
    <x v="2"/>
    <n v="0"/>
    <x v="2"/>
    <n v="20"/>
    <x v="0"/>
    <n v="0"/>
    <x v="2"/>
    <n v="28"/>
    <s v="Sensitive"/>
  </r>
  <r>
    <x v="1"/>
    <x v="11"/>
    <x v="1"/>
    <n v="0"/>
    <x v="2"/>
    <n v="0"/>
    <x v="1"/>
    <n v="20"/>
    <x v="1"/>
    <n v="22"/>
    <s v="Intermediate"/>
  </r>
  <r>
    <x v="1"/>
    <x v="2"/>
    <x v="1"/>
    <n v="10"/>
    <x v="2"/>
    <n v="18"/>
    <x v="0"/>
    <n v="0"/>
    <x v="2"/>
    <n v="22"/>
    <s v="Intermediate"/>
  </r>
  <r>
    <x v="2"/>
    <x v="16"/>
    <x v="0"/>
    <n v="0"/>
    <x v="2"/>
    <n v="18"/>
    <x v="0"/>
    <n v="7"/>
    <x v="2"/>
    <n v="25"/>
    <s v="Intermediate"/>
  </r>
  <r>
    <x v="2"/>
    <x v="15"/>
    <x v="2"/>
    <n v="0"/>
    <x v="2"/>
    <n v="0"/>
    <x v="1"/>
    <n v="0"/>
    <x v="2"/>
    <n v="24"/>
    <s v="Intermediate"/>
  </r>
  <r>
    <x v="2"/>
    <x v="0"/>
    <x v="0"/>
    <n v="9"/>
    <x v="2"/>
    <n v="19"/>
    <x v="0"/>
    <n v="20"/>
    <x v="1"/>
    <n v="25"/>
    <s v="Intermediate"/>
  </r>
  <r>
    <x v="2"/>
    <x v="6"/>
    <x v="0"/>
    <n v="0"/>
    <x v="2"/>
    <n v="19"/>
    <x v="0"/>
    <n v="9"/>
    <x v="2"/>
    <n v="23"/>
    <s v="Intermediate"/>
  </r>
  <r>
    <x v="2"/>
    <x v="12"/>
    <x v="0"/>
    <n v="11"/>
    <x v="2"/>
    <n v="19"/>
    <x v="0"/>
    <n v="20"/>
    <x v="1"/>
    <n v="21"/>
    <s v="Resistant"/>
  </r>
  <r>
    <x v="2"/>
    <x v="17"/>
    <x v="0"/>
    <n v="0"/>
    <x v="2"/>
    <n v="20"/>
    <x v="0"/>
    <n v="15"/>
    <x v="0"/>
    <n v="20"/>
    <s v="Resistant"/>
  </r>
  <r>
    <x v="2"/>
    <x v="1"/>
    <x v="0"/>
    <n v="0"/>
    <x v="2"/>
    <n v="24"/>
    <x v="0"/>
    <n v="25"/>
    <x v="1"/>
    <n v="20"/>
    <s v="Resistant"/>
  </r>
  <r>
    <x v="2"/>
    <x v="17"/>
    <x v="0"/>
    <n v="12"/>
    <x v="2"/>
    <n v="25"/>
    <x v="0"/>
    <n v="28"/>
    <x v="1"/>
    <n v="25"/>
    <s v="Intermediate"/>
  </r>
  <r>
    <x v="2"/>
    <x v="3"/>
    <x v="1"/>
    <n v="22"/>
    <x v="1"/>
    <n v="18"/>
    <x v="0"/>
    <n v="0"/>
    <x v="2"/>
    <n v="28"/>
    <s v="Sensitive"/>
  </r>
  <r>
    <x v="2"/>
    <x v="6"/>
    <x v="0"/>
    <n v="12"/>
    <x v="2"/>
    <n v="15"/>
    <x v="0"/>
    <n v="15"/>
    <x v="0"/>
    <n v="0"/>
    <s v="Resistant"/>
  </r>
  <r>
    <x v="2"/>
    <x v="14"/>
    <x v="2"/>
    <n v="0"/>
    <x v="2"/>
    <n v="6"/>
    <x v="1"/>
    <n v="17"/>
    <x v="0"/>
    <n v="12"/>
    <s v="Resistant"/>
  </r>
  <r>
    <x v="2"/>
    <x v="2"/>
    <x v="1"/>
    <n v="20"/>
    <x v="0"/>
    <n v="20"/>
    <x v="0"/>
    <n v="16"/>
    <x v="0"/>
    <n v="0"/>
    <s v="Resistant"/>
  </r>
  <r>
    <x v="2"/>
    <x v="17"/>
    <x v="0"/>
    <n v="0"/>
    <x v="2"/>
    <n v="24"/>
    <x v="0"/>
    <n v="28"/>
    <x v="1"/>
    <n v="29"/>
    <s v="Sensitive"/>
  </r>
  <r>
    <x v="2"/>
    <x v="0"/>
    <x v="0"/>
    <n v="0"/>
    <x v="2"/>
    <n v="20"/>
    <x v="0"/>
    <n v="16"/>
    <x v="0"/>
    <n v="20"/>
    <s v="Resistant"/>
  </r>
  <r>
    <x v="2"/>
    <x v="1"/>
    <x v="0"/>
    <n v="0"/>
    <x v="2"/>
    <n v="20"/>
    <x v="0"/>
    <n v="16"/>
    <x v="0"/>
    <n v="26"/>
    <s v="Sensitive"/>
  </r>
  <r>
    <x v="2"/>
    <x v="0"/>
    <x v="0"/>
    <n v="20"/>
    <x v="0"/>
    <n v="17"/>
    <x v="0"/>
    <n v="15"/>
    <x v="0"/>
    <n v="25"/>
    <s v="Intermediate"/>
  </r>
  <r>
    <x v="2"/>
    <x v="0"/>
    <x v="0"/>
    <n v="24"/>
    <x v="1"/>
    <n v="16"/>
    <x v="0"/>
    <n v="20"/>
    <x v="1"/>
    <n v="25"/>
    <s v="Intermediate"/>
  </r>
  <r>
    <x v="2"/>
    <x v="3"/>
    <x v="1"/>
    <n v="0"/>
    <x v="2"/>
    <n v="16"/>
    <x v="0"/>
    <n v="4"/>
    <x v="2"/>
    <n v="20"/>
    <s v="Resistant"/>
  </r>
  <r>
    <x v="2"/>
    <x v="1"/>
    <x v="0"/>
    <n v="7"/>
    <x v="2"/>
    <n v="20"/>
    <x v="0"/>
    <n v="20"/>
    <x v="1"/>
    <n v="20"/>
    <s v="Resistant"/>
  </r>
  <r>
    <x v="2"/>
    <x v="2"/>
    <x v="1"/>
    <n v="0"/>
    <x v="2"/>
    <n v="20"/>
    <x v="0"/>
    <n v="11"/>
    <x v="2"/>
    <n v="0"/>
    <s v="Resistant"/>
  </r>
  <r>
    <x v="2"/>
    <x v="1"/>
    <x v="0"/>
    <n v="0"/>
    <x v="2"/>
    <n v="20"/>
    <x v="0"/>
    <n v="18"/>
    <x v="1"/>
    <n v="25"/>
    <s v="Intermediate"/>
  </r>
  <r>
    <x v="2"/>
    <x v="1"/>
    <x v="0"/>
    <n v="18"/>
    <x v="0"/>
    <n v="16"/>
    <x v="0"/>
    <n v="25"/>
    <x v="1"/>
    <n v="20"/>
    <s v="Resistant"/>
  </r>
  <r>
    <x v="2"/>
    <x v="17"/>
    <x v="0"/>
    <n v="20"/>
    <x v="0"/>
    <n v="25"/>
    <x v="0"/>
    <n v="25"/>
    <x v="1"/>
    <n v="25"/>
    <s v="Intermediate"/>
  </r>
  <r>
    <x v="2"/>
    <x v="1"/>
    <x v="0"/>
    <n v="0"/>
    <x v="2"/>
    <n v="20"/>
    <x v="0"/>
    <n v="17"/>
    <x v="0"/>
    <n v="25"/>
    <s v="Intermediate"/>
  </r>
  <r>
    <x v="3"/>
    <x v="6"/>
    <x v="0"/>
    <n v="0"/>
    <x v="2"/>
    <n v="16"/>
    <x v="0"/>
    <n v="0"/>
    <x v="2"/>
    <n v="30"/>
    <s v="Sensitive"/>
  </r>
  <r>
    <x v="3"/>
    <x v="12"/>
    <x v="0"/>
    <n v="20"/>
    <x v="0"/>
    <n v="10"/>
    <x v="1"/>
    <n v="9"/>
    <x v="2"/>
    <n v="23"/>
    <s v="Intermediate"/>
  </r>
  <r>
    <x v="3"/>
    <x v="11"/>
    <x v="1"/>
    <n v="0"/>
    <x v="2"/>
    <n v="15"/>
    <x v="0"/>
    <n v="0"/>
    <x v="2"/>
    <n v="22"/>
    <s v="Intermediate"/>
  </r>
  <r>
    <x v="3"/>
    <x v="3"/>
    <x v="1"/>
    <n v="12"/>
    <x v="2"/>
    <n v="17"/>
    <x v="0"/>
    <n v="0"/>
    <x v="2"/>
    <n v="19"/>
    <s v="Resistant"/>
  </r>
  <r>
    <x v="3"/>
    <x v="2"/>
    <x v="1"/>
    <n v="0"/>
    <x v="2"/>
    <n v="15"/>
    <x v="0"/>
    <n v="0"/>
    <x v="2"/>
    <n v="20"/>
    <s v="Resistant"/>
  </r>
  <r>
    <x v="3"/>
    <x v="14"/>
    <x v="2"/>
    <n v="0"/>
    <x v="2"/>
    <n v="15"/>
    <x v="0"/>
    <n v="0"/>
    <x v="2"/>
    <n v="12"/>
    <s v="Resistant"/>
  </r>
  <r>
    <x v="3"/>
    <x v="8"/>
    <x v="2"/>
    <n v="24"/>
    <x v="1"/>
    <n v="13"/>
    <x v="2"/>
    <n v="9"/>
    <x v="2"/>
    <n v="32"/>
    <s v="Sensitive"/>
  </r>
  <r>
    <x v="3"/>
    <x v="5"/>
    <x v="0"/>
    <n v="0"/>
    <x v="2"/>
    <n v="15"/>
    <x v="0"/>
    <n v="0"/>
    <x v="2"/>
    <n v="10"/>
    <s v="Resistant"/>
  </r>
  <r>
    <x v="3"/>
    <x v="3"/>
    <x v="1"/>
    <n v="18"/>
    <x v="0"/>
    <n v="15"/>
    <x v="0"/>
    <n v="0"/>
    <x v="2"/>
    <n v="25"/>
    <s v="Intermediate"/>
  </r>
  <r>
    <x v="3"/>
    <x v="14"/>
    <x v="2"/>
    <n v="12"/>
    <x v="2"/>
    <n v="15"/>
    <x v="0"/>
    <n v="0"/>
    <x v="2"/>
    <n v="21"/>
    <s v="Resistant"/>
  </r>
  <r>
    <x v="3"/>
    <x v="6"/>
    <x v="0"/>
    <n v="11"/>
    <x v="2"/>
    <n v="17"/>
    <x v="0"/>
    <n v="0"/>
    <x v="2"/>
    <n v="21"/>
    <s v="Resistant"/>
  </r>
  <r>
    <x v="3"/>
    <x v="16"/>
    <x v="0"/>
    <n v="12"/>
    <x v="2"/>
    <n v="8"/>
    <x v="1"/>
    <n v="0"/>
    <x v="2"/>
    <n v="22"/>
    <s v="Intermediate"/>
  </r>
  <r>
    <x v="3"/>
    <x v="3"/>
    <x v="1"/>
    <n v="15"/>
    <x v="2"/>
    <n v="9"/>
    <x v="1"/>
    <n v="0"/>
    <x v="2"/>
    <n v="20"/>
    <s v="Resistant"/>
  </r>
  <r>
    <x v="3"/>
    <x v="6"/>
    <x v="0"/>
    <n v="32"/>
    <x v="1"/>
    <n v="22"/>
    <x v="0"/>
    <n v="13"/>
    <x v="2"/>
    <n v="19"/>
    <s v="Resistant"/>
  </r>
  <r>
    <x v="3"/>
    <x v="3"/>
    <x v="1"/>
    <n v="25"/>
    <x v="1"/>
    <n v="18"/>
    <x v="0"/>
    <n v="7"/>
    <x v="2"/>
    <n v="20"/>
    <s v="Resistant"/>
  </r>
  <r>
    <x v="3"/>
    <x v="2"/>
    <x v="1"/>
    <n v="13"/>
    <x v="2"/>
    <n v="0"/>
    <x v="1"/>
    <n v="0"/>
    <x v="2"/>
    <n v="0"/>
    <s v="Resistant"/>
  </r>
  <r>
    <x v="3"/>
    <x v="2"/>
    <x v="1"/>
    <n v="0"/>
    <x v="2"/>
    <n v="8"/>
    <x v="1"/>
    <n v="0"/>
    <x v="2"/>
    <n v="20"/>
    <s v="Resistant"/>
  </r>
  <r>
    <x v="3"/>
    <x v="16"/>
    <x v="0"/>
    <n v="0"/>
    <x v="2"/>
    <n v="15"/>
    <x v="0"/>
    <n v="0"/>
    <x v="2"/>
    <n v="25"/>
    <s v="Intermediate"/>
  </r>
  <r>
    <x v="3"/>
    <x v="0"/>
    <x v="0"/>
    <n v="11"/>
    <x v="2"/>
    <n v="16"/>
    <x v="0"/>
    <n v="0"/>
    <x v="2"/>
    <n v="15"/>
    <s v="Resistant"/>
  </r>
  <r>
    <x v="3"/>
    <x v="16"/>
    <x v="0"/>
    <n v="13"/>
    <x v="2"/>
    <n v="15"/>
    <x v="0"/>
    <n v="0"/>
    <x v="2"/>
    <n v="17"/>
    <s v="Resistant"/>
  </r>
  <r>
    <x v="3"/>
    <x v="5"/>
    <x v="0"/>
    <n v="8"/>
    <x v="2"/>
    <n v="20"/>
    <x v="0"/>
    <n v="12"/>
    <x v="2"/>
    <n v="0"/>
    <s v="Resistant"/>
  </r>
  <r>
    <x v="3"/>
    <x v="0"/>
    <x v="0"/>
    <n v="0"/>
    <x v="2"/>
    <n v="17"/>
    <x v="0"/>
    <n v="0"/>
    <x v="2"/>
    <n v="11"/>
    <s v="Resistant"/>
  </r>
  <r>
    <x v="3"/>
    <x v="0"/>
    <x v="0"/>
    <n v="0"/>
    <x v="2"/>
    <n v="16"/>
    <x v="0"/>
    <n v="0"/>
    <x v="2"/>
    <n v="19"/>
    <s v="Resistant"/>
  </r>
  <r>
    <x v="4"/>
    <x v="16"/>
    <x v="0"/>
    <n v="10"/>
    <x v="2"/>
    <n v="15"/>
    <x v="0"/>
    <n v="0"/>
    <x v="2"/>
    <n v="15"/>
    <s v="Resistant"/>
  </r>
  <r>
    <x v="4"/>
    <x v="2"/>
    <x v="1"/>
    <n v="11"/>
    <x v="2"/>
    <n v="14"/>
    <x v="2"/>
    <n v="0"/>
    <x v="2"/>
    <n v="20"/>
    <s v="Resistant"/>
  </r>
  <r>
    <x v="4"/>
    <x v="2"/>
    <x v="1"/>
    <n v="11"/>
    <x v="2"/>
    <n v="10"/>
    <x v="1"/>
    <n v="0"/>
    <x v="2"/>
    <n v="17"/>
    <s v="Resistant"/>
  </r>
  <r>
    <x v="4"/>
    <x v="2"/>
    <x v="1"/>
    <n v="0"/>
    <x v="2"/>
    <n v="15"/>
    <x v="0"/>
    <n v="0"/>
    <x v="2"/>
    <n v="0"/>
    <s v="Resistant"/>
  </r>
  <r>
    <x v="4"/>
    <x v="2"/>
    <x v="1"/>
    <n v="12"/>
    <x v="2"/>
    <n v="17"/>
    <x v="0"/>
    <n v="0"/>
    <x v="2"/>
    <n v="17"/>
    <s v="Resistant"/>
  </r>
  <r>
    <x v="4"/>
    <x v="16"/>
    <x v="0"/>
    <n v="15"/>
    <x v="2"/>
    <n v="15"/>
    <x v="0"/>
    <n v="0"/>
    <x v="2"/>
    <n v="7"/>
    <s v="Resistant"/>
  </r>
  <r>
    <x v="4"/>
    <x v="0"/>
    <x v="0"/>
    <n v="0"/>
    <x v="2"/>
    <n v="17"/>
    <x v="0"/>
    <n v="7"/>
    <x v="2"/>
    <n v="21"/>
    <s v="Resistant"/>
  </r>
  <r>
    <x v="4"/>
    <x v="1"/>
    <x v="0"/>
    <n v="0"/>
    <x v="2"/>
    <n v="19"/>
    <x v="0"/>
    <n v="15"/>
    <x v="0"/>
    <n v="25"/>
    <s v="Intermediate"/>
  </r>
  <r>
    <x v="4"/>
    <x v="15"/>
    <x v="2"/>
    <n v="0"/>
    <x v="2"/>
    <n v="0"/>
    <x v="1"/>
    <n v="0"/>
    <x v="2"/>
    <n v="24"/>
    <s v="Intermediate"/>
  </r>
  <r>
    <x v="4"/>
    <x v="1"/>
    <x v="0"/>
    <n v="0"/>
    <x v="2"/>
    <n v="15"/>
    <x v="0"/>
    <n v="7"/>
    <x v="2"/>
    <n v="20"/>
    <s v="Resistant"/>
  </r>
  <r>
    <x v="4"/>
    <x v="2"/>
    <x v="1"/>
    <n v="0"/>
    <x v="2"/>
    <n v="16"/>
    <x v="0"/>
    <n v="0"/>
    <x v="2"/>
    <n v="15"/>
    <s v="Resistant"/>
  </r>
  <r>
    <x v="4"/>
    <x v="0"/>
    <x v="0"/>
    <n v="0"/>
    <x v="2"/>
    <n v="20"/>
    <x v="0"/>
    <n v="0"/>
    <x v="2"/>
    <n v="20"/>
    <s v="Resistant"/>
  </r>
  <r>
    <x v="4"/>
    <x v="2"/>
    <x v="1"/>
    <n v="0"/>
    <x v="2"/>
    <n v="19"/>
    <x v="0"/>
    <n v="0"/>
    <x v="2"/>
    <n v="22"/>
    <s v="Intermediate"/>
  </r>
  <r>
    <x v="4"/>
    <x v="2"/>
    <x v="1"/>
    <n v="0"/>
    <x v="2"/>
    <n v="15"/>
    <x v="0"/>
    <n v="0"/>
    <x v="2"/>
    <n v="20"/>
    <s v="Resistant"/>
  </r>
  <r>
    <x v="4"/>
    <x v="1"/>
    <x v="0"/>
    <n v="7"/>
    <x v="2"/>
    <n v="19"/>
    <x v="0"/>
    <n v="0"/>
    <x v="2"/>
    <n v="22"/>
    <s v="Intermediate"/>
  </r>
  <r>
    <x v="4"/>
    <x v="2"/>
    <x v="1"/>
    <n v="20"/>
    <x v="0"/>
    <n v="10"/>
    <x v="1"/>
    <n v="0"/>
    <x v="2"/>
    <n v="20"/>
    <s v="Resistant"/>
  </r>
  <r>
    <x v="4"/>
    <x v="0"/>
    <x v="0"/>
    <n v="0"/>
    <x v="2"/>
    <n v="28"/>
    <x v="0"/>
    <n v="0"/>
    <x v="2"/>
    <n v="25"/>
    <s v="Intermediate"/>
  </r>
  <r>
    <x v="4"/>
    <x v="2"/>
    <x v="1"/>
    <n v="0"/>
    <x v="2"/>
    <n v="20"/>
    <x v="0"/>
    <n v="0"/>
    <x v="2"/>
    <n v="20"/>
    <s v="Resistant"/>
  </r>
  <r>
    <x v="4"/>
    <x v="1"/>
    <x v="0"/>
    <n v="0"/>
    <x v="2"/>
    <n v="20"/>
    <x v="0"/>
    <n v="20"/>
    <x v="1"/>
    <n v="20"/>
    <s v="Resistant"/>
  </r>
  <r>
    <x v="4"/>
    <x v="0"/>
    <x v="0"/>
    <n v="10"/>
    <x v="2"/>
    <n v="15"/>
    <x v="0"/>
    <n v="0"/>
    <x v="2"/>
    <n v="20"/>
    <s v="Resistant"/>
  </r>
  <r>
    <x v="4"/>
    <x v="0"/>
    <x v="0"/>
    <n v="10"/>
    <x v="2"/>
    <n v="20"/>
    <x v="0"/>
    <n v="22"/>
    <x v="1"/>
    <n v="25"/>
    <s v="Intermediate"/>
  </r>
  <r>
    <x v="4"/>
    <x v="1"/>
    <x v="0"/>
    <n v="0"/>
    <x v="2"/>
    <n v="20"/>
    <x v="0"/>
    <n v="0"/>
    <x v="2"/>
    <n v="22"/>
    <s v="Intermediate"/>
  </r>
  <r>
    <x v="4"/>
    <x v="1"/>
    <x v="0"/>
    <n v="10"/>
    <x v="2"/>
    <n v="20"/>
    <x v="0"/>
    <n v="0"/>
    <x v="2"/>
    <n v="25"/>
    <s v="Intermediate"/>
  </r>
  <r>
    <x v="5"/>
    <x v="0"/>
    <x v="0"/>
    <n v="25"/>
    <x v="1"/>
    <n v="18"/>
    <x v="0"/>
    <n v="15"/>
    <x v="0"/>
    <n v="21"/>
    <s v="Resistant"/>
  </r>
  <r>
    <x v="5"/>
    <x v="0"/>
    <x v="0"/>
    <n v="0"/>
    <x v="2"/>
    <n v="20"/>
    <x v="0"/>
    <n v="7"/>
    <x v="2"/>
    <n v="20"/>
    <s v="Resistant"/>
  </r>
  <r>
    <x v="5"/>
    <x v="18"/>
    <x v="2"/>
    <n v="15"/>
    <x v="2"/>
    <n v="20"/>
    <x v="0"/>
    <n v="7"/>
    <x v="2"/>
    <n v="20"/>
    <s v="Resistant"/>
  </r>
  <r>
    <x v="5"/>
    <x v="6"/>
    <x v="0"/>
    <n v="10"/>
    <x v="2"/>
    <n v="18"/>
    <x v="0"/>
    <n v="10"/>
    <x v="2"/>
    <n v="23"/>
    <s v="Intermediate"/>
  </r>
  <r>
    <x v="5"/>
    <x v="12"/>
    <x v="0"/>
    <n v="20"/>
    <x v="0"/>
    <n v="20"/>
    <x v="0"/>
    <n v="17"/>
    <x v="0"/>
    <n v="25"/>
    <s v="Intermediate"/>
  </r>
  <r>
    <x v="5"/>
    <x v="0"/>
    <x v="0"/>
    <n v="25"/>
    <x v="1"/>
    <n v="20"/>
    <x v="0"/>
    <n v="20"/>
    <x v="1"/>
    <n v="30"/>
    <s v="Sensitive"/>
  </r>
  <r>
    <x v="5"/>
    <x v="19"/>
    <x v="0"/>
    <n v="24"/>
    <x v="1"/>
    <n v="20"/>
    <x v="0"/>
    <n v="10"/>
    <x v="2"/>
    <n v="0"/>
    <s v="Resistant"/>
  </r>
  <r>
    <x v="5"/>
    <x v="20"/>
    <x v="0"/>
    <n v="0"/>
    <x v="2"/>
    <n v="24"/>
    <x v="0"/>
    <n v="18"/>
    <x v="1"/>
    <n v="25"/>
    <s v="Intermediate"/>
  </r>
  <r>
    <x v="5"/>
    <x v="10"/>
    <x v="0"/>
    <n v="10"/>
    <x v="2"/>
    <n v="15"/>
    <x v="0"/>
    <n v="17"/>
    <x v="0"/>
    <n v="25"/>
    <s v="Intermediate"/>
  </r>
  <r>
    <x v="5"/>
    <x v="7"/>
    <x v="0"/>
    <n v="0"/>
    <x v="2"/>
    <n v="25"/>
    <x v="0"/>
    <n v="30"/>
    <x v="1"/>
    <n v="30"/>
    <s v="Sensitive"/>
  </r>
  <r>
    <x v="5"/>
    <x v="21"/>
    <x v="0"/>
    <n v="10"/>
    <x v="2"/>
    <n v="16"/>
    <x v="0"/>
    <n v="20"/>
    <x v="1"/>
    <n v="20"/>
    <s v="Resistant"/>
  </r>
  <r>
    <x v="5"/>
    <x v="20"/>
    <x v="0"/>
    <n v="5"/>
    <x v="2"/>
    <n v="25"/>
    <x v="0"/>
    <n v="17"/>
    <x v="0"/>
    <n v="25"/>
    <s v="Intermediate"/>
  </r>
  <r>
    <x v="5"/>
    <x v="22"/>
    <x v="0"/>
    <n v="0"/>
    <x v="2"/>
    <n v="20"/>
    <x v="0"/>
    <n v="15"/>
    <x v="0"/>
    <n v="20"/>
    <s v="Resistant"/>
  </r>
  <r>
    <x v="5"/>
    <x v="0"/>
    <x v="0"/>
    <n v="10"/>
    <x v="2"/>
    <n v="20"/>
    <x v="0"/>
    <n v="17"/>
    <x v="0"/>
    <n v="17"/>
    <s v="Resistant"/>
  </r>
  <r>
    <x v="5"/>
    <x v="1"/>
    <x v="0"/>
    <n v="10"/>
    <x v="2"/>
    <n v="25"/>
    <x v="0"/>
    <n v="15"/>
    <x v="0"/>
    <n v="25"/>
    <s v="Intermediate"/>
  </r>
  <r>
    <x v="5"/>
    <x v="1"/>
    <x v="0"/>
    <n v="10"/>
    <x v="2"/>
    <n v="25"/>
    <x v="0"/>
    <n v="25"/>
    <x v="1"/>
    <n v="20"/>
    <s v="Resistant"/>
  </r>
  <r>
    <x v="5"/>
    <x v="1"/>
    <x v="0"/>
    <n v="0"/>
    <x v="2"/>
    <n v="25"/>
    <x v="0"/>
    <n v="30"/>
    <x v="1"/>
    <n v="30"/>
    <s v="Sensitive"/>
  </r>
  <r>
    <x v="5"/>
    <x v="0"/>
    <x v="0"/>
    <n v="10"/>
    <x v="2"/>
    <n v="15"/>
    <x v="0"/>
    <n v="15"/>
    <x v="0"/>
    <n v="20"/>
    <s v="Resistant"/>
  </r>
  <r>
    <x v="5"/>
    <x v="1"/>
    <x v="0"/>
    <n v="0"/>
    <x v="2"/>
    <n v="20"/>
    <x v="0"/>
    <n v="12"/>
    <x v="2"/>
    <n v="20"/>
    <s v="Resistant"/>
  </r>
  <r>
    <x v="5"/>
    <x v="7"/>
    <x v="0"/>
    <n v="7"/>
    <x v="2"/>
    <n v="20"/>
    <x v="0"/>
    <n v="20"/>
    <x v="1"/>
    <n v="23"/>
    <s v="Intermediate"/>
  </r>
  <r>
    <x v="5"/>
    <x v="0"/>
    <x v="0"/>
    <n v="0"/>
    <x v="2"/>
    <n v="18"/>
    <x v="0"/>
    <n v="10"/>
    <x v="2"/>
    <n v="20"/>
    <s v="Resistant"/>
  </r>
  <r>
    <x v="5"/>
    <x v="22"/>
    <x v="0"/>
    <n v="10"/>
    <x v="2"/>
    <n v="21"/>
    <x v="0"/>
    <n v="7"/>
    <x v="2"/>
    <n v="20"/>
    <s v="Resistant"/>
  </r>
  <r>
    <x v="5"/>
    <x v="1"/>
    <x v="0"/>
    <n v="12"/>
    <x v="2"/>
    <n v="17"/>
    <x v="0"/>
    <n v="25"/>
    <x v="1"/>
    <n v="15"/>
    <s v="Resistant"/>
  </r>
  <r>
    <x v="6"/>
    <x v="13"/>
    <x v="2"/>
    <n v="23"/>
    <x v="1"/>
    <n v="16"/>
    <x v="0"/>
    <n v="8"/>
    <x v="2"/>
    <n v="11"/>
    <s v="Resistant"/>
  </r>
  <r>
    <x v="6"/>
    <x v="2"/>
    <x v="1"/>
    <n v="8"/>
    <x v="2"/>
    <n v="14"/>
    <x v="2"/>
    <n v="19"/>
    <x v="1"/>
    <n v="22"/>
    <s v="Intermediate"/>
  </r>
  <r>
    <x v="6"/>
    <x v="2"/>
    <x v="1"/>
    <n v="0"/>
    <x v="2"/>
    <n v="10"/>
    <x v="1"/>
    <n v="0"/>
    <x v="2"/>
    <n v="17"/>
    <s v="Resistant"/>
  </r>
  <r>
    <x v="6"/>
    <x v="8"/>
    <x v="2"/>
    <n v="15"/>
    <x v="2"/>
    <n v="15"/>
    <x v="0"/>
    <n v="10"/>
    <x v="2"/>
    <n v="0"/>
    <s v="Resistant"/>
  </r>
  <r>
    <x v="6"/>
    <x v="3"/>
    <x v="1"/>
    <n v="9"/>
    <x v="2"/>
    <n v="13"/>
    <x v="2"/>
    <n v="17"/>
    <x v="0"/>
    <n v="12"/>
    <s v="Resistant"/>
  </r>
  <r>
    <x v="6"/>
    <x v="3"/>
    <x v="1"/>
    <n v="0"/>
    <x v="2"/>
    <n v="13"/>
    <x v="2"/>
    <n v="14"/>
    <x v="0"/>
    <n v="7"/>
    <s v="Resistant"/>
  </r>
  <r>
    <x v="6"/>
    <x v="14"/>
    <x v="2"/>
    <n v="0"/>
    <x v="2"/>
    <n v="8"/>
    <x v="1"/>
    <n v="12"/>
    <x v="2"/>
    <n v="0"/>
    <s v="Resistant"/>
  </r>
  <r>
    <x v="6"/>
    <x v="9"/>
    <x v="2"/>
    <n v="0"/>
    <x v="2"/>
    <n v="7"/>
    <x v="1"/>
    <n v="9"/>
    <x v="2"/>
    <n v="0"/>
    <s v="Resistant"/>
  </r>
  <r>
    <x v="6"/>
    <x v="8"/>
    <x v="2"/>
    <n v="13"/>
    <x v="2"/>
    <n v="7"/>
    <x v="1"/>
    <n v="11"/>
    <x v="2"/>
    <n v="12"/>
    <s v="Resistant"/>
  </r>
  <r>
    <x v="6"/>
    <x v="16"/>
    <x v="0"/>
    <n v="19"/>
    <x v="0"/>
    <n v="18"/>
    <x v="0"/>
    <n v="18"/>
    <x v="1"/>
    <n v="22"/>
    <s v="Intermediate"/>
  </r>
  <r>
    <x v="6"/>
    <x v="16"/>
    <x v="0"/>
    <n v="13"/>
    <x v="2"/>
    <n v="17"/>
    <x v="0"/>
    <n v="0"/>
    <x v="2"/>
    <n v="24"/>
    <s v="Intermediate"/>
  </r>
  <r>
    <x v="6"/>
    <x v="13"/>
    <x v="2"/>
    <n v="0"/>
    <x v="2"/>
    <n v="12"/>
    <x v="1"/>
    <n v="0"/>
    <x v="2"/>
    <n v="20"/>
    <s v="Resistant"/>
  </r>
  <r>
    <x v="6"/>
    <x v="14"/>
    <x v="2"/>
    <n v="8"/>
    <x v="2"/>
    <n v="9"/>
    <x v="1"/>
    <n v="0"/>
    <x v="2"/>
    <n v="0"/>
    <s v="Resistant"/>
  </r>
  <r>
    <x v="6"/>
    <x v="23"/>
    <x v="2"/>
    <n v="0"/>
    <x v="2"/>
    <n v="13"/>
    <x v="2"/>
    <n v="8"/>
    <x v="2"/>
    <n v="0"/>
    <s v="Resistant"/>
  </r>
  <r>
    <x v="6"/>
    <x v="6"/>
    <x v="0"/>
    <n v="11"/>
    <x v="2"/>
    <n v="18"/>
    <x v="0"/>
    <n v="15"/>
    <x v="0"/>
    <n v="21"/>
    <s v="Resistant"/>
  </r>
  <r>
    <x v="6"/>
    <x v="16"/>
    <x v="0"/>
    <n v="12"/>
    <x v="2"/>
    <n v="17"/>
    <x v="0"/>
    <n v="10"/>
    <x v="2"/>
    <n v="25"/>
    <s v="Intermediate"/>
  </r>
  <r>
    <x v="6"/>
    <x v="2"/>
    <x v="1"/>
    <n v="14"/>
    <x v="2"/>
    <n v="16"/>
    <x v="0"/>
    <n v="20"/>
    <x v="1"/>
    <n v="22"/>
    <s v="Intermediate"/>
  </r>
  <r>
    <x v="6"/>
    <x v="6"/>
    <x v="0"/>
    <n v="15"/>
    <x v="2"/>
    <n v="16"/>
    <x v="0"/>
    <n v="12"/>
    <x v="2"/>
    <n v="24"/>
    <s v="Intermediate"/>
  </r>
  <r>
    <x v="6"/>
    <x v="5"/>
    <x v="0"/>
    <n v="25"/>
    <x v="1"/>
    <n v="12"/>
    <x v="1"/>
    <n v="17"/>
    <x v="0"/>
    <n v="25"/>
    <s v="Intermediate"/>
  </r>
  <r>
    <x v="6"/>
    <x v="8"/>
    <x v="2"/>
    <n v="0"/>
    <x v="2"/>
    <n v="10"/>
    <x v="1"/>
    <n v="11"/>
    <x v="2"/>
    <n v="8"/>
    <s v="Resistant"/>
  </r>
  <r>
    <x v="6"/>
    <x v="11"/>
    <x v="1"/>
    <n v="20"/>
    <x v="0"/>
    <n v="15"/>
    <x v="0"/>
    <n v="0"/>
    <x v="2"/>
    <n v="26"/>
    <s v="Sensitive"/>
  </r>
  <r>
    <x v="6"/>
    <x v="11"/>
    <x v="1"/>
    <n v="0"/>
    <x v="2"/>
    <n v="13"/>
    <x v="2"/>
    <n v="0"/>
    <x v="2"/>
    <n v="12"/>
    <s v="Resistant"/>
  </r>
  <r>
    <x v="6"/>
    <x v="2"/>
    <x v="1"/>
    <n v="24"/>
    <x v="1"/>
    <n v="16"/>
    <x v="0"/>
    <n v="0"/>
    <x v="2"/>
    <n v="23"/>
    <s v="Intermediate"/>
  </r>
  <r>
    <x v="6"/>
    <x v="11"/>
    <x v="1"/>
    <n v="0"/>
    <x v="2"/>
    <n v="19"/>
    <x v="0"/>
    <n v="10"/>
    <x v="2"/>
    <n v="12"/>
    <s v="Resistant"/>
  </r>
  <r>
    <x v="6"/>
    <x v="2"/>
    <x v="1"/>
    <n v="18"/>
    <x v="0"/>
    <n v="14"/>
    <x v="2"/>
    <n v="0"/>
    <x v="2"/>
    <n v="20"/>
    <s v="Resistant"/>
  </r>
  <r>
    <x v="6"/>
    <x v="3"/>
    <x v="1"/>
    <n v="24"/>
    <x v="1"/>
    <n v="16"/>
    <x v="0"/>
    <n v="17"/>
    <x v="0"/>
    <n v="22"/>
    <s v="Intermediate"/>
  </r>
  <r>
    <x v="6"/>
    <x v="4"/>
    <x v="0"/>
    <n v="18"/>
    <x v="0"/>
    <n v="21"/>
    <x v="0"/>
    <n v="9"/>
    <x v="2"/>
    <n v="26"/>
    <s v="Sensitive"/>
  </r>
  <r>
    <x v="7"/>
    <x v="2"/>
    <x v="1"/>
    <n v="0"/>
    <x v="2"/>
    <n v="12"/>
    <x v="1"/>
    <n v="14"/>
    <x v="0"/>
    <n v="11"/>
    <s v="Resistant"/>
  </r>
  <r>
    <x v="7"/>
    <x v="2"/>
    <x v="1"/>
    <n v="12"/>
    <x v="2"/>
    <n v="21"/>
    <x v="0"/>
    <n v="15"/>
    <x v="0"/>
    <n v="22"/>
    <s v="Intermediate"/>
  </r>
  <r>
    <x v="7"/>
    <x v="16"/>
    <x v="0"/>
    <n v="20"/>
    <x v="0"/>
    <n v="18"/>
    <x v="0"/>
    <n v="25"/>
    <x v="1"/>
    <n v="17"/>
    <s v="Resistant"/>
  </r>
  <r>
    <x v="7"/>
    <x v="2"/>
    <x v="1"/>
    <n v="0"/>
    <x v="2"/>
    <n v="9"/>
    <x v="1"/>
    <n v="15"/>
    <x v="0"/>
    <n v="9"/>
    <s v="Resistant"/>
  </r>
  <r>
    <x v="7"/>
    <x v="16"/>
    <x v="0"/>
    <n v="12"/>
    <x v="2"/>
    <n v="20"/>
    <x v="0"/>
    <n v="25"/>
    <x v="1"/>
    <n v="28"/>
    <s v="Sensitive"/>
  </r>
  <r>
    <x v="7"/>
    <x v="3"/>
    <x v="1"/>
    <n v="10"/>
    <x v="2"/>
    <n v="18"/>
    <x v="0"/>
    <n v="0"/>
    <x v="2"/>
    <n v="19"/>
    <s v="Resistant"/>
  </r>
  <r>
    <x v="7"/>
    <x v="13"/>
    <x v="2"/>
    <n v="22"/>
    <x v="1"/>
    <n v="19"/>
    <x v="0"/>
    <n v="9"/>
    <x v="2"/>
    <n v="15"/>
    <s v="Resistant"/>
  </r>
  <r>
    <x v="7"/>
    <x v="11"/>
    <x v="1"/>
    <n v="17"/>
    <x v="2"/>
    <n v="16"/>
    <x v="0"/>
    <n v="20"/>
    <x v="1"/>
    <n v="26"/>
    <s v="Sensitive"/>
  </r>
  <r>
    <x v="7"/>
    <x v="11"/>
    <x v="1"/>
    <n v="0"/>
    <x v="2"/>
    <n v="17"/>
    <x v="0"/>
    <n v="7"/>
    <x v="2"/>
    <n v="20"/>
    <s v="Resistant"/>
  </r>
  <r>
    <x v="7"/>
    <x v="3"/>
    <x v="1"/>
    <n v="0"/>
    <x v="2"/>
    <n v="17"/>
    <x v="0"/>
    <n v="13"/>
    <x v="2"/>
    <n v="23"/>
    <s v="Intermediate"/>
  </r>
  <r>
    <x v="7"/>
    <x v="2"/>
    <x v="1"/>
    <n v="13"/>
    <x v="2"/>
    <n v="18"/>
    <x v="0"/>
    <n v="0"/>
    <x v="2"/>
    <n v="22"/>
    <s v="Intermediate"/>
  </r>
  <r>
    <x v="7"/>
    <x v="12"/>
    <x v="0"/>
    <n v="12"/>
    <x v="2"/>
    <n v="21"/>
    <x v="0"/>
    <n v="0"/>
    <x v="2"/>
    <n v="22"/>
    <s v="Intermediate"/>
  </r>
  <r>
    <x v="7"/>
    <x v="14"/>
    <x v="2"/>
    <n v="0"/>
    <x v="2"/>
    <n v="8"/>
    <x v="1"/>
    <n v="0"/>
    <x v="2"/>
    <n v="9"/>
    <s v="Resistant"/>
  </r>
  <r>
    <x v="7"/>
    <x v="11"/>
    <x v="1"/>
    <n v="0"/>
    <x v="2"/>
    <n v="18"/>
    <x v="0"/>
    <n v="12"/>
    <x v="2"/>
    <n v="20"/>
    <s v="Resistant"/>
  </r>
  <r>
    <x v="7"/>
    <x v="3"/>
    <x v="1"/>
    <n v="0"/>
    <x v="2"/>
    <n v="18"/>
    <x v="0"/>
    <n v="19"/>
    <x v="1"/>
    <n v="25"/>
    <s v="Intermediate"/>
  </r>
  <r>
    <x v="7"/>
    <x v="6"/>
    <x v="0"/>
    <n v="16"/>
    <x v="2"/>
    <n v="14"/>
    <x v="2"/>
    <n v="16"/>
    <x v="0"/>
    <n v="24"/>
    <s v="Intermediate"/>
  </r>
  <r>
    <x v="7"/>
    <x v="4"/>
    <x v="0"/>
    <n v="10"/>
    <x v="2"/>
    <n v="21"/>
    <x v="0"/>
    <n v="18"/>
    <x v="1"/>
    <n v="23"/>
    <s v="Intermediate"/>
  </r>
  <r>
    <x v="7"/>
    <x v="9"/>
    <x v="2"/>
    <n v="0"/>
    <x v="2"/>
    <n v="10"/>
    <x v="1"/>
    <n v="11"/>
    <x v="2"/>
    <n v="9"/>
    <s v="Resistant"/>
  </r>
  <r>
    <x v="7"/>
    <x v="24"/>
    <x v="0"/>
    <n v="0"/>
    <x v="2"/>
    <n v="22"/>
    <x v="0"/>
    <n v="15"/>
    <x v="0"/>
    <n v="25"/>
    <s v="Intermediate"/>
  </r>
  <r>
    <x v="7"/>
    <x v="25"/>
    <x v="2"/>
    <n v="0"/>
    <x v="2"/>
    <n v="12"/>
    <x v="1"/>
    <n v="13"/>
    <x v="2"/>
    <n v="0"/>
    <s v="Resistant"/>
  </r>
  <r>
    <x v="8"/>
    <x v="8"/>
    <x v="2"/>
    <n v="17"/>
    <x v="2"/>
    <n v="16"/>
    <x v="0"/>
    <n v="0"/>
    <x v="2"/>
    <n v="22"/>
    <s v="Intermediate"/>
  </r>
  <r>
    <x v="8"/>
    <x v="6"/>
    <x v="0"/>
    <n v="0"/>
    <x v="2"/>
    <n v="9"/>
    <x v="1"/>
    <n v="0"/>
    <x v="2"/>
    <n v="0"/>
    <s v="Resistant"/>
  </r>
  <r>
    <x v="8"/>
    <x v="6"/>
    <x v="0"/>
    <n v="0"/>
    <x v="2"/>
    <n v="8"/>
    <x v="1"/>
    <n v="0"/>
    <x v="2"/>
    <n v="0"/>
    <s v="Resistant"/>
  </r>
  <r>
    <x v="8"/>
    <x v="2"/>
    <x v="1"/>
    <n v="0"/>
    <x v="2"/>
    <n v="10"/>
    <x v="1"/>
    <n v="0"/>
    <x v="2"/>
    <n v="11"/>
    <s v="Resistant"/>
  </r>
  <r>
    <x v="8"/>
    <x v="3"/>
    <x v="1"/>
    <n v="0"/>
    <x v="2"/>
    <n v="22"/>
    <x v="0"/>
    <n v="12"/>
    <x v="2"/>
    <n v="10"/>
    <s v="Resistant"/>
  </r>
  <r>
    <x v="8"/>
    <x v="16"/>
    <x v="0"/>
    <n v="0"/>
    <x v="2"/>
    <n v="16"/>
    <x v="0"/>
    <n v="0"/>
    <x v="2"/>
    <n v="25"/>
    <s v="Intermediate"/>
  </r>
  <r>
    <x v="8"/>
    <x v="11"/>
    <x v="1"/>
    <n v="0"/>
    <x v="2"/>
    <n v="20"/>
    <x v="0"/>
    <n v="11"/>
    <x v="2"/>
    <n v="25"/>
    <s v="Intermediate"/>
  </r>
  <r>
    <x v="8"/>
    <x v="3"/>
    <x v="1"/>
    <n v="0"/>
    <x v="2"/>
    <n v="21"/>
    <x v="0"/>
    <n v="15"/>
    <x v="0"/>
    <n v="0"/>
    <s v="Resistant"/>
  </r>
  <r>
    <x v="8"/>
    <x v="6"/>
    <x v="0"/>
    <n v="18"/>
    <x v="0"/>
    <n v="23"/>
    <x v="0"/>
    <n v="23"/>
    <x v="1"/>
    <n v="24"/>
    <s v="Intermediate"/>
  </r>
  <r>
    <x v="8"/>
    <x v="24"/>
    <x v="0"/>
    <n v="12"/>
    <x v="2"/>
    <n v="27"/>
    <x v="0"/>
    <n v="20"/>
    <x v="1"/>
    <n v="28"/>
    <s v="Sensitive"/>
  </r>
  <r>
    <x v="8"/>
    <x v="2"/>
    <x v="1"/>
    <n v="0"/>
    <x v="2"/>
    <n v="19"/>
    <x v="0"/>
    <n v="14"/>
    <x v="0"/>
    <n v="23"/>
    <s v="Intermediate"/>
  </r>
  <r>
    <x v="8"/>
    <x v="12"/>
    <x v="0"/>
    <n v="0"/>
    <x v="2"/>
    <n v="20"/>
    <x v="0"/>
    <n v="12"/>
    <x v="2"/>
    <n v="13"/>
    <s v="Resistant"/>
  </r>
  <r>
    <x v="8"/>
    <x v="0"/>
    <x v="0"/>
    <n v="0"/>
    <x v="2"/>
    <n v="17"/>
    <x v="0"/>
    <n v="12"/>
    <x v="2"/>
    <n v="21"/>
    <s v="Resistant"/>
  </r>
  <r>
    <x v="8"/>
    <x v="11"/>
    <x v="1"/>
    <n v="0"/>
    <x v="2"/>
    <n v="15"/>
    <x v="0"/>
    <n v="11"/>
    <x v="2"/>
    <n v="12"/>
    <s v="Resistant"/>
  </r>
  <r>
    <x v="8"/>
    <x v="1"/>
    <x v="0"/>
    <n v="0"/>
    <x v="2"/>
    <n v="22"/>
    <x v="0"/>
    <n v="13"/>
    <x v="2"/>
    <n v="26"/>
    <s v="Sensitive"/>
  </r>
  <r>
    <x v="8"/>
    <x v="22"/>
    <x v="0"/>
    <n v="0"/>
    <x v="2"/>
    <n v="19"/>
    <x v="0"/>
    <n v="0"/>
    <x v="2"/>
    <n v="17"/>
    <s v="Resistant"/>
  </r>
  <r>
    <x v="8"/>
    <x v="2"/>
    <x v="1"/>
    <n v="0"/>
    <x v="2"/>
    <n v="19"/>
    <x v="0"/>
    <n v="11"/>
    <x v="2"/>
    <n v="22"/>
    <s v="Intermediate"/>
  </r>
  <r>
    <x v="8"/>
    <x v="0"/>
    <x v="0"/>
    <n v="0"/>
    <x v="2"/>
    <n v="20"/>
    <x v="0"/>
    <n v="7"/>
    <x v="2"/>
    <n v="12"/>
    <s v="Resistant"/>
  </r>
  <r>
    <x v="8"/>
    <x v="1"/>
    <x v="0"/>
    <n v="0"/>
    <x v="2"/>
    <n v="7"/>
    <x v="1"/>
    <n v="0"/>
    <x v="2"/>
    <n v="10"/>
    <s v="Resistant"/>
  </r>
  <r>
    <x v="8"/>
    <x v="2"/>
    <x v="1"/>
    <n v="0"/>
    <x v="2"/>
    <n v="21"/>
    <x v="0"/>
    <n v="13"/>
    <x v="2"/>
    <n v="11"/>
    <s v="Resistant"/>
  </r>
  <r>
    <x v="8"/>
    <x v="3"/>
    <x v="1"/>
    <n v="0"/>
    <x v="2"/>
    <n v="21"/>
    <x v="0"/>
    <n v="12"/>
    <x v="2"/>
    <n v="23"/>
    <s v="Intermediate"/>
  </r>
  <r>
    <x v="8"/>
    <x v="11"/>
    <x v="1"/>
    <n v="0"/>
    <x v="2"/>
    <n v="9"/>
    <x v="1"/>
    <n v="14"/>
    <x v="0"/>
    <n v="0"/>
    <s v="Resistant"/>
  </r>
  <r>
    <x v="9"/>
    <x v="2"/>
    <x v="1"/>
    <n v="21"/>
    <x v="1"/>
    <n v="18"/>
    <x v="0"/>
    <n v="11"/>
    <x v="2"/>
    <n v="22"/>
    <s v="Intermediate"/>
  </r>
  <r>
    <x v="9"/>
    <x v="9"/>
    <x v="2"/>
    <n v="20"/>
    <x v="0"/>
    <n v="27"/>
    <x v="0"/>
    <n v="19"/>
    <x v="1"/>
    <n v="16"/>
    <s v="Resistant"/>
  </r>
  <r>
    <x v="9"/>
    <x v="21"/>
    <x v="0"/>
    <n v="10"/>
    <x v="2"/>
    <n v="23"/>
    <x v="0"/>
    <n v="20"/>
    <x v="1"/>
    <n v="20"/>
    <s v="Resistant"/>
  </r>
  <r>
    <x v="9"/>
    <x v="26"/>
    <x v="0"/>
    <n v="9"/>
    <x v="2"/>
    <n v="16"/>
    <x v="0"/>
    <n v="11"/>
    <x v="2"/>
    <n v="20"/>
    <s v="Resistant"/>
  </r>
  <r>
    <x v="9"/>
    <x v="1"/>
    <x v="0"/>
    <n v="20"/>
    <x v="0"/>
    <n v="28"/>
    <x v="0"/>
    <n v="35"/>
    <x v="1"/>
    <n v="15"/>
    <s v="Resistant"/>
  </r>
  <r>
    <x v="9"/>
    <x v="7"/>
    <x v="0"/>
    <n v="9"/>
    <x v="2"/>
    <n v="16"/>
    <x v="0"/>
    <n v="10"/>
    <x v="2"/>
    <n v="13"/>
    <s v="Resistant"/>
  </r>
  <r>
    <x v="9"/>
    <x v="0"/>
    <x v="0"/>
    <n v="0"/>
    <x v="2"/>
    <n v="22"/>
    <x v="0"/>
    <n v="18"/>
    <x v="1"/>
    <n v="18"/>
    <s v="Resistant"/>
  </r>
  <r>
    <x v="9"/>
    <x v="16"/>
    <x v="0"/>
    <n v="0"/>
    <x v="2"/>
    <n v="20"/>
    <x v="0"/>
    <n v="15"/>
    <x v="0"/>
    <n v="23"/>
    <s v="Intermediate"/>
  </r>
  <r>
    <x v="9"/>
    <x v="3"/>
    <x v="1"/>
    <n v="7"/>
    <x v="2"/>
    <n v="17"/>
    <x v="0"/>
    <n v="12"/>
    <x v="2"/>
    <n v="18"/>
    <s v="Resistant"/>
  </r>
  <r>
    <x v="9"/>
    <x v="6"/>
    <x v="0"/>
    <n v="0"/>
    <x v="2"/>
    <n v="16"/>
    <x v="0"/>
    <n v="15"/>
    <x v="0"/>
    <n v="24"/>
    <s v="Intermediate"/>
  </r>
  <r>
    <x v="9"/>
    <x v="24"/>
    <x v="0"/>
    <n v="7"/>
    <x v="2"/>
    <n v="17"/>
    <x v="0"/>
    <n v="11"/>
    <x v="2"/>
    <n v="13"/>
    <s v="Resistant"/>
  </r>
  <r>
    <x v="9"/>
    <x v="24"/>
    <x v="0"/>
    <n v="21"/>
    <x v="1"/>
    <n v="19"/>
    <x v="0"/>
    <n v="21"/>
    <x v="1"/>
    <n v="25"/>
    <s v="Intermediate"/>
  </r>
  <r>
    <x v="9"/>
    <x v="1"/>
    <x v="0"/>
    <n v="20"/>
    <x v="0"/>
    <n v="18"/>
    <x v="0"/>
    <n v="19"/>
    <x v="1"/>
    <n v="26"/>
    <s v="Sensitive"/>
  </r>
  <r>
    <x v="9"/>
    <x v="21"/>
    <x v="0"/>
    <n v="12"/>
    <x v="2"/>
    <n v="21"/>
    <x v="0"/>
    <n v="20"/>
    <x v="1"/>
    <n v="19"/>
    <s v="Resistant"/>
  </r>
  <r>
    <x v="9"/>
    <x v="10"/>
    <x v="0"/>
    <n v="25"/>
    <x v="1"/>
    <n v="24"/>
    <x v="0"/>
    <n v="31"/>
    <x v="1"/>
    <n v="30"/>
    <s v="Sensitive"/>
  </r>
  <r>
    <x v="9"/>
    <x v="27"/>
    <x v="0"/>
    <n v="15"/>
    <x v="2"/>
    <n v="20"/>
    <x v="0"/>
    <n v="18"/>
    <x v="1"/>
    <n v="22"/>
    <s v="Intermediate"/>
  </r>
  <r>
    <x v="9"/>
    <x v="1"/>
    <x v="0"/>
    <n v="19"/>
    <x v="0"/>
    <n v="20"/>
    <x v="0"/>
    <n v="18"/>
    <x v="1"/>
    <n v="22"/>
    <s v="Intermediate"/>
  </r>
  <r>
    <x v="9"/>
    <x v="10"/>
    <x v="0"/>
    <n v="10"/>
    <x v="2"/>
    <n v="12"/>
    <x v="1"/>
    <n v="9"/>
    <x v="2"/>
    <n v="13"/>
    <s v="Resistant"/>
  </r>
  <r>
    <x v="9"/>
    <x v="1"/>
    <x v="0"/>
    <n v="17"/>
    <x v="2"/>
    <n v="20"/>
    <x v="0"/>
    <n v="25"/>
    <x v="1"/>
    <n v="24"/>
    <s v="Intermediate"/>
  </r>
  <r>
    <x v="9"/>
    <x v="26"/>
    <x v="0"/>
    <n v="17"/>
    <x v="2"/>
    <n v="20"/>
    <x v="0"/>
    <n v="9"/>
    <x v="2"/>
    <n v="23"/>
    <s v="Intermediate"/>
  </r>
  <r>
    <x v="9"/>
    <x v="0"/>
    <x v="0"/>
    <n v="0"/>
    <x v="2"/>
    <n v="18"/>
    <x v="0"/>
    <n v="15"/>
    <x v="0"/>
    <n v="24"/>
    <s v="Intermediate"/>
  </r>
  <r>
    <x v="10"/>
    <x v="4"/>
    <x v="0"/>
    <n v="0"/>
    <x v="2"/>
    <n v="0"/>
    <x v="1"/>
    <n v="10"/>
    <x v="2"/>
    <n v="20"/>
    <s v="Resistant"/>
  </r>
  <r>
    <x v="10"/>
    <x v="0"/>
    <x v="0"/>
    <n v="20"/>
    <x v="0"/>
    <n v="0"/>
    <x v="1"/>
    <n v="10"/>
    <x v="2"/>
    <n v="20"/>
    <s v="Resistant"/>
  </r>
  <r>
    <x v="10"/>
    <x v="22"/>
    <x v="0"/>
    <n v="0"/>
    <x v="2"/>
    <n v="15"/>
    <x v="0"/>
    <n v="10"/>
    <x v="2"/>
    <n v="20"/>
    <s v="Resistant"/>
  </r>
  <r>
    <x v="10"/>
    <x v="6"/>
    <x v="0"/>
    <n v="18"/>
    <x v="0"/>
    <n v="20"/>
    <x v="0"/>
    <n v="0"/>
    <x v="2"/>
    <n v="25"/>
    <s v="Intermediate"/>
  </r>
  <r>
    <x v="10"/>
    <x v="4"/>
    <x v="0"/>
    <n v="20"/>
    <x v="0"/>
    <n v="7"/>
    <x v="1"/>
    <n v="10"/>
    <x v="2"/>
    <n v="0"/>
    <s v="Resistant"/>
  </r>
  <r>
    <x v="10"/>
    <x v="0"/>
    <x v="0"/>
    <n v="0"/>
    <x v="2"/>
    <n v="15"/>
    <x v="0"/>
    <n v="10"/>
    <x v="2"/>
    <n v="20"/>
    <s v="Resistant"/>
  </r>
  <r>
    <x v="10"/>
    <x v="0"/>
    <x v="0"/>
    <n v="0"/>
    <x v="2"/>
    <n v="20"/>
    <x v="0"/>
    <n v="15"/>
    <x v="0"/>
    <n v="20"/>
    <s v="Resistant"/>
  </r>
  <r>
    <x v="10"/>
    <x v="0"/>
    <x v="0"/>
    <n v="0"/>
    <x v="2"/>
    <n v="20"/>
    <x v="0"/>
    <n v="10"/>
    <x v="2"/>
    <n v="0"/>
    <s v="Resistant"/>
  </r>
  <r>
    <x v="10"/>
    <x v="0"/>
    <x v="0"/>
    <n v="12"/>
    <x v="2"/>
    <n v="9"/>
    <x v="1"/>
    <n v="0"/>
    <x v="2"/>
    <n v="0"/>
    <s v="Resistant"/>
  </r>
  <r>
    <x v="10"/>
    <x v="0"/>
    <x v="0"/>
    <n v="20"/>
    <x v="0"/>
    <n v="15"/>
    <x v="0"/>
    <n v="7"/>
    <x v="2"/>
    <n v="20"/>
    <s v="Resistant"/>
  </r>
  <r>
    <x v="10"/>
    <x v="0"/>
    <x v="0"/>
    <n v="0"/>
    <x v="2"/>
    <n v="20"/>
    <x v="0"/>
    <n v="20"/>
    <x v="1"/>
    <n v="20"/>
    <s v="Resistant"/>
  </r>
  <r>
    <x v="10"/>
    <x v="2"/>
    <x v="1"/>
    <n v="0"/>
    <x v="2"/>
    <n v="25"/>
    <x v="0"/>
    <n v="15"/>
    <x v="0"/>
    <n v="22"/>
    <s v="Intermediate"/>
  </r>
  <r>
    <x v="10"/>
    <x v="1"/>
    <x v="0"/>
    <n v="0"/>
    <x v="2"/>
    <n v="20"/>
    <x v="0"/>
    <n v="12"/>
    <x v="2"/>
    <n v="22"/>
    <s v="Intermediate"/>
  </r>
  <r>
    <x v="10"/>
    <x v="0"/>
    <x v="0"/>
    <n v="25"/>
    <x v="1"/>
    <n v="30"/>
    <x v="0"/>
    <n v="10"/>
    <x v="2"/>
    <n v="25"/>
    <s v="Intermediate"/>
  </r>
  <r>
    <x v="10"/>
    <x v="0"/>
    <x v="0"/>
    <n v="0"/>
    <x v="2"/>
    <n v="0"/>
    <x v="1"/>
    <n v="15"/>
    <x v="0"/>
    <n v="10"/>
    <s v="Resistant"/>
  </r>
  <r>
    <x v="10"/>
    <x v="1"/>
    <x v="0"/>
    <n v="0"/>
    <x v="2"/>
    <n v="17"/>
    <x v="0"/>
    <n v="12"/>
    <x v="2"/>
    <n v="28"/>
    <s v="Sensitive"/>
  </r>
  <r>
    <x v="10"/>
    <x v="7"/>
    <x v="0"/>
    <n v="19"/>
    <x v="0"/>
    <n v="25"/>
    <x v="0"/>
    <n v="27"/>
    <x v="1"/>
    <n v="25"/>
    <s v="Intermediate"/>
  </r>
  <r>
    <x v="10"/>
    <x v="22"/>
    <x v="0"/>
    <n v="9"/>
    <x v="2"/>
    <n v="25"/>
    <x v="0"/>
    <n v="10"/>
    <x v="2"/>
    <n v="25"/>
    <s v="Intermediate"/>
  </r>
  <r>
    <x v="10"/>
    <x v="16"/>
    <x v="0"/>
    <n v="0"/>
    <x v="2"/>
    <n v="20"/>
    <x v="0"/>
    <n v="15"/>
    <x v="0"/>
    <n v="23"/>
    <s v="Intermediate"/>
  </r>
  <r>
    <x v="10"/>
    <x v="2"/>
    <x v="1"/>
    <n v="20"/>
    <x v="0"/>
    <n v="18"/>
    <x v="0"/>
    <n v="0"/>
    <x v="2"/>
    <n v="25"/>
    <s v="Intermediate"/>
  </r>
  <r>
    <x v="10"/>
    <x v="2"/>
    <x v="1"/>
    <n v="20"/>
    <x v="0"/>
    <n v="20"/>
    <x v="0"/>
    <n v="0"/>
    <x v="2"/>
    <n v="28"/>
    <s v="Sensitive"/>
  </r>
  <r>
    <x v="11"/>
    <x v="2"/>
    <x v="1"/>
    <n v="0"/>
    <x v="2"/>
    <n v="18"/>
    <x v="0"/>
    <n v="7"/>
    <x v="2"/>
    <n v="28"/>
    <s v="Sensitive"/>
  </r>
  <r>
    <x v="11"/>
    <x v="5"/>
    <x v="0"/>
    <n v="0"/>
    <x v="2"/>
    <n v="20"/>
    <x v="0"/>
    <n v="7"/>
    <x v="2"/>
    <n v="23"/>
    <s v="Intermediate"/>
  </r>
  <r>
    <x v="11"/>
    <x v="22"/>
    <x v="0"/>
    <n v="7"/>
    <x v="2"/>
    <n v="19"/>
    <x v="0"/>
    <n v="11"/>
    <x v="2"/>
    <n v="20"/>
    <s v="Resistant"/>
  </r>
  <r>
    <x v="11"/>
    <x v="24"/>
    <x v="0"/>
    <n v="0"/>
    <x v="2"/>
    <n v="23"/>
    <x v="0"/>
    <n v="13"/>
    <x v="2"/>
    <n v="23"/>
    <s v="Intermediate"/>
  </r>
  <r>
    <x v="11"/>
    <x v="5"/>
    <x v="0"/>
    <n v="7"/>
    <x v="2"/>
    <n v="19"/>
    <x v="0"/>
    <n v="10"/>
    <x v="2"/>
    <n v="0"/>
    <s v="Resistant"/>
  </r>
  <r>
    <x v="11"/>
    <x v="7"/>
    <x v="0"/>
    <n v="0"/>
    <x v="2"/>
    <n v="13"/>
    <x v="2"/>
    <n v="12"/>
    <x v="2"/>
    <n v="20"/>
    <s v="Resistant"/>
  </r>
  <r>
    <x v="11"/>
    <x v="2"/>
    <x v="1"/>
    <n v="25"/>
    <x v="1"/>
    <n v="18"/>
    <x v="0"/>
    <n v="0"/>
    <x v="2"/>
    <n v="23"/>
    <s v="Intermediate"/>
  </r>
  <r>
    <x v="11"/>
    <x v="8"/>
    <x v="2"/>
    <n v="0"/>
    <x v="2"/>
    <n v="17"/>
    <x v="0"/>
    <n v="11"/>
    <x v="2"/>
    <n v="25"/>
    <s v="Intermediate"/>
  </r>
  <r>
    <x v="11"/>
    <x v="14"/>
    <x v="2"/>
    <n v="0"/>
    <x v="2"/>
    <n v="17"/>
    <x v="0"/>
    <n v="15"/>
    <x v="0"/>
    <n v="20"/>
    <s v="Resistant"/>
  </r>
  <r>
    <x v="11"/>
    <x v="2"/>
    <x v="1"/>
    <n v="19"/>
    <x v="0"/>
    <n v="15"/>
    <x v="0"/>
    <n v="15"/>
    <x v="0"/>
    <n v="22"/>
    <s v="Intermediate"/>
  </r>
  <r>
    <x v="11"/>
    <x v="2"/>
    <x v="1"/>
    <n v="10"/>
    <x v="2"/>
    <n v="20"/>
    <x v="0"/>
    <n v="17"/>
    <x v="0"/>
    <n v="30"/>
    <s v="Sensitive"/>
  </r>
  <r>
    <x v="11"/>
    <x v="1"/>
    <x v="0"/>
    <n v="0"/>
    <x v="2"/>
    <n v="15"/>
    <x v="0"/>
    <n v="15"/>
    <x v="0"/>
    <n v="13"/>
    <s v="Resistant"/>
  </r>
  <r>
    <x v="11"/>
    <x v="2"/>
    <x v="1"/>
    <n v="25"/>
    <x v="1"/>
    <n v="15"/>
    <x v="0"/>
    <n v="12"/>
    <x v="2"/>
    <n v="25"/>
    <s v="Intermediate"/>
  </r>
  <r>
    <x v="11"/>
    <x v="27"/>
    <x v="0"/>
    <n v="0"/>
    <x v="2"/>
    <n v="20"/>
    <x v="0"/>
    <n v="15"/>
    <x v="0"/>
    <n v="20"/>
    <s v="Resistant"/>
  </r>
  <r>
    <x v="11"/>
    <x v="0"/>
    <x v="0"/>
    <n v="0"/>
    <x v="2"/>
    <n v="20"/>
    <x v="0"/>
    <n v="15"/>
    <x v="0"/>
    <n v="19"/>
    <s v="Resistant"/>
  </r>
  <r>
    <x v="11"/>
    <x v="0"/>
    <x v="0"/>
    <n v="7"/>
    <x v="2"/>
    <n v="18"/>
    <x v="0"/>
    <n v="15"/>
    <x v="0"/>
    <n v="27"/>
    <s v="Sensitive"/>
  </r>
  <r>
    <x v="11"/>
    <x v="24"/>
    <x v="0"/>
    <n v="0"/>
    <x v="2"/>
    <n v="0"/>
    <x v="1"/>
    <n v="12"/>
    <x v="2"/>
    <n v="25"/>
    <s v="Intermediate"/>
  </r>
  <r>
    <x v="11"/>
    <x v="1"/>
    <x v="0"/>
    <n v="0"/>
    <x v="2"/>
    <n v="20"/>
    <x v="0"/>
    <n v="12"/>
    <x v="2"/>
    <n v="23"/>
    <s v="Intermediate"/>
  </r>
  <r>
    <x v="11"/>
    <x v="16"/>
    <x v="0"/>
    <n v="30"/>
    <x v="1"/>
    <n v="20"/>
    <x v="0"/>
    <n v="12"/>
    <x v="2"/>
    <n v="35"/>
    <s v="Sensitive"/>
  </r>
  <r>
    <x v="11"/>
    <x v="11"/>
    <x v="1"/>
    <n v="0"/>
    <x v="2"/>
    <n v="18"/>
    <x v="0"/>
    <n v="12"/>
    <x v="2"/>
    <n v="20"/>
    <s v="Resistant"/>
  </r>
  <r>
    <x v="11"/>
    <x v="6"/>
    <x v="0"/>
    <n v="0"/>
    <x v="2"/>
    <n v="22"/>
    <x v="0"/>
    <n v="11"/>
    <x v="2"/>
    <n v="23"/>
    <s v="Intermedia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x v="0"/>
    <x v="0"/>
    <x v="0"/>
    <x v="0"/>
    <x v="0"/>
    <n v="20"/>
    <x v="0"/>
    <n v="20"/>
    <x v="0"/>
    <n v="15"/>
    <x v="0"/>
    <n v="28"/>
    <x v="0"/>
    <n v="0"/>
    <x v="0"/>
  </r>
  <r>
    <x v="0"/>
    <x v="0"/>
    <x v="0"/>
    <x v="0"/>
    <x v="0"/>
    <n v="25"/>
    <x v="1"/>
    <n v="20"/>
    <x v="0"/>
    <n v="20"/>
    <x v="1"/>
    <n v="30"/>
    <x v="0"/>
    <n v="0"/>
    <x v="0"/>
  </r>
  <r>
    <x v="0"/>
    <x v="0"/>
    <x v="0"/>
    <x v="1"/>
    <x v="0"/>
    <n v="10"/>
    <x v="2"/>
    <n v="20"/>
    <x v="0"/>
    <n v="20"/>
    <x v="1"/>
    <n v="25"/>
    <x v="1"/>
    <n v="1"/>
    <x v="0"/>
  </r>
  <r>
    <x v="0"/>
    <x v="0"/>
    <x v="0"/>
    <x v="0"/>
    <x v="0"/>
    <n v="20"/>
    <x v="0"/>
    <n v="20"/>
    <x v="0"/>
    <n v="25"/>
    <x v="1"/>
    <n v="28"/>
    <x v="0"/>
    <n v="0"/>
    <x v="0"/>
  </r>
  <r>
    <x v="0"/>
    <x v="0"/>
    <x v="0"/>
    <x v="0"/>
    <x v="0"/>
    <n v="7"/>
    <x v="2"/>
    <n v="20"/>
    <x v="0"/>
    <n v="20"/>
    <x v="1"/>
    <n v="22"/>
    <x v="1"/>
    <n v="1"/>
    <x v="0"/>
  </r>
  <r>
    <x v="0"/>
    <x v="0"/>
    <x v="0"/>
    <x v="0"/>
    <x v="0"/>
    <n v="0"/>
    <x v="2"/>
    <n v="15"/>
    <x v="0"/>
    <n v="15"/>
    <x v="0"/>
    <n v="25"/>
    <x v="1"/>
    <n v="1"/>
    <x v="0"/>
  </r>
  <r>
    <x v="0"/>
    <x v="0"/>
    <x v="0"/>
    <x v="2"/>
    <x v="1"/>
    <n v="0"/>
    <x v="2"/>
    <n v="22"/>
    <x v="0"/>
    <n v="10"/>
    <x v="2"/>
    <n v="22"/>
    <x v="1"/>
    <n v="2"/>
    <x v="0"/>
  </r>
  <r>
    <x v="0"/>
    <x v="0"/>
    <x v="0"/>
    <x v="0"/>
    <x v="0"/>
    <n v="25"/>
    <x v="1"/>
    <n v="18"/>
    <x v="0"/>
    <n v="18"/>
    <x v="1"/>
    <n v="22"/>
    <x v="1"/>
    <n v="0"/>
    <x v="0"/>
  </r>
  <r>
    <x v="0"/>
    <x v="0"/>
    <x v="0"/>
    <x v="3"/>
    <x v="1"/>
    <n v="0"/>
    <x v="2"/>
    <n v="12"/>
    <x v="1"/>
    <n v="12"/>
    <x v="2"/>
    <n v="22"/>
    <x v="1"/>
    <n v="3"/>
    <x v="1"/>
  </r>
  <r>
    <x v="0"/>
    <x v="0"/>
    <x v="0"/>
    <x v="2"/>
    <x v="1"/>
    <n v="0"/>
    <x v="2"/>
    <n v="10"/>
    <x v="1"/>
    <n v="10"/>
    <x v="2"/>
    <n v="22"/>
    <x v="1"/>
    <n v="3"/>
    <x v="1"/>
  </r>
  <r>
    <x v="0"/>
    <x v="0"/>
    <x v="0"/>
    <x v="4"/>
    <x v="0"/>
    <n v="20"/>
    <x v="0"/>
    <n v="18"/>
    <x v="0"/>
    <n v="20"/>
    <x v="1"/>
    <n v="25"/>
    <x v="1"/>
    <n v="0"/>
    <x v="0"/>
  </r>
  <r>
    <x v="0"/>
    <x v="0"/>
    <x v="0"/>
    <x v="5"/>
    <x v="0"/>
    <n v="27"/>
    <x v="1"/>
    <n v="20"/>
    <x v="0"/>
    <n v="20"/>
    <x v="1"/>
    <n v="28"/>
    <x v="0"/>
    <n v="0"/>
    <x v="0"/>
  </r>
  <r>
    <x v="0"/>
    <x v="0"/>
    <x v="0"/>
    <x v="3"/>
    <x v="1"/>
    <n v="12"/>
    <x v="2"/>
    <n v="0"/>
    <x v="1"/>
    <n v="8"/>
    <x v="2"/>
    <n v="0"/>
    <x v="2"/>
    <n v="4"/>
    <x v="2"/>
  </r>
  <r>
    <x v="0"/>
    <x v="0"/>
    <x v="0"/>
    <x v="3"/>
    <x v="1"/>
    <n v="0"/>
    <x v="2"/>
    <n v="20"/>
    <x v="0"/>
    <n v="20"/>
    <x v="1"/>
    <n v="20"/>
    <x v="2"/>
    <n v="2"/>
    <x v="0"/>
  </r>
  <r>
    <x v="0"/>
    <x v="0"/>
    <x v="0"/>
    <x v="6"/>
    <x v="0"/>
    <n v="15"/>
    <x v="2"/>
    <n v="25"/>
    <x v="0"/>
    <n v="25"/>
    <x v="1"/>
    <n v="20"/>
    <x v="2"/>
    <n v="2"/>
    <x v="0"/>
  </r>
  <r>
    <x v="0"/>
    <x v="0"/>
    <x v="0"/>
    <x v="7"/>
    <x v="0"/>
    <n v="20"/>
    <x v="0"/>
    <n v="25"/>
    <x v="0"/>
    <n v="25"/>
    <x v="1"/>
    <n v="30"/>
    <x v="0"/>
    <n v="0"/>
    <x v="0"/>
  </r>
  <r>
    <x v="0"/>
    <x v="0"/>
    <x v="0"/>
    <x v="5"/>
    <x v="0"/>
    <n v="27"/>
    <x v="1"/>
    <n v="20"/>
    <x v="0"/>
    <n v="20"/>
    <x v="1"/>
    <n v="0"/>
    <x v="2"/>
    <n v="1"/>
    <x v="0"/>
  </r>
  <r>
    <x v="0"/>
    <x v="0"/>
    <x v="0"/>
    <x v="2"/>
    <x v="1"/>
    <n v="22"/>
    <x v="1"/>
    <n v="0"/>
    <x v="1"/>
    <n v="0"/>
    <x v="2"/>
    <n v="0"/>
    <x v="2"/>
    <n v="3"/>
    <x v="1"/>
  </r>
  <r>
    <x v="0"/>
    <x v="0"/>
    <x v="0"/>
    <x v="0"/>
    <x v="0"/>
    <n v="25"/>
    <x v="1"/>
    <n v="13"/>
    <x v="2"/>
    <n v="20"/>
    <x v="1"/>
    <n v="22"/>
    <x v="1"/>
    <n v="0"/>
    <x v="0"/>
  </r>
  <r>
    <x v="0"/>
    <x v="0"/>
    <x v="0"/>
    <x v="8"/>
    <x v="2"/>
    <n v="27"/>
    <x v="1"/>
    <n v="20"/>
    <x v="0"/>
    <n v="0"/>
    <x v="2"/>
    <n v="25"/>
    <x v="1"/>
    <n v="2"/>
    <x v="0"/>
  </r>
  <r>
    <x v="0"/>
    <x v="0"/>
    <x v="0"/>
    <x v="5"/>
    <x v="0"/>
    <n v="15"/>
    <x v="2"/>
    <n v="18"/>
    <x v="0"/>
    <n v="15"/>
    <x v="0"/>
    <n v="25"/>
    <x v="1"/>
    <n v="1"/>
    <x v="0"/>
  </r>
  <r>
    <x v="0"/>
    <x v="0"/>
    <x v="0"/>
    <x v="2"/>
    <x v="1"/>
    <n v="22"/>
    <x v="1"/>
    <n v="10"/>
    <x v="1"/>
    <n v="20"/>
    <x v="1"/>
    <n v="22"/>
    <x v="1"/>
    <n v="1"/>
    <x v="0"/>
  </r>
  <r>
    <x v="0"/>
    <x v="0"/>
    <x v="0"/>
    <x v="9"/>
    <x v="2"/>
    <n v="25"/>
    <x v="1"/>
    <n v="20"/>
    <x v="0"/>
    <n v="0"/>
    <x v="2"/>
    <n v="30"/>
    <x v="0"/>
    <n v="2"/>
    <x v="0"/>
  </r>
  <r>
    <x v="0"/>
    <x v="0"/>
    <x v="0"/>
    <x v="2"/>
    <x v="1"/>
    <n v="20"/>
    <x v="0"/>
    <n v="20"/>
    <x v="0"/>
    <n v="20"/>
    <x v="1"/>
    <n v="20"/>
    <x v="2"/>
    <n v="1"/>
    <x v="0"/>
  </r>
  <r>
    <x v="0"/>
    <x v="0"/>
    <x v="0"/>
    <x v="2"/>
    <x v="1"/>
    <n v="10"/>
    <x v="2"/>
    <n v="15"/>
    <x v="0"/>
    <n v="0"/>
    <x v="2"/>
    <n v="15"/>
    <x v="2"/>
    <n v="3"/>
    <x v="1"/>
  </r>
  <r>
    <x v="0"/>
    <x v="0"/>
    <x v="0"/>
    <x v="1"/>
    <x v="0"/>
    <n v="15"/>
    <x v="2"/>
    <n v="15"/>
    <x v="0"/>
    <n v="12"/>
    <x v="2"/>
    <n v="0"/>
    <x v="2"/>
    <n v="3"/>
    <x v="1"/>
  </r>
  <r>
    <x v="0"/>
    <x v="0"/>
    <x v="0"/>
    <x v="10"/>
    <x v="0"/>
    <n v="15"/>
    <x v="2"/>
    <n v="20"/>
    <x v="0"/>
    <n v="24"/>
    <x v="1"/>
    <n v="20"/>
    <x v="2"/>
    <n v="2"/>
    <x v="0"/>
  </r>
  <r>
    <x v="0"/>
    <x v="0"/>
    <x v="0"/>
    <x v="8"/>
    <x v="2"/>
    <n v="0"/>
    <x v="2"/>
    <n v="18"/>
    <x v="0"/>
    <n v="10"/>
    <x v="2"/>
    <n v="22"/>
    <x v="1"/>
    <n v="3"/>
    <x v="1"/>
  </r>
  <r>
    <x v="0"/>
    <x v="0"/>
    <x v="0"/>
    <x v="11"/>
    <x v="1"/>
    <n v="18"/>
    <x v="0"/>
    <n v="15"/>
    <x v="0"/>
    <n v="12"/>
    <x v="2"/>
    <n v="25"/>
    <x v="1"/>
    <n v="1"/>
    <x v="0"/>
  </r>
  <r>
    <x v="0"/>
    <x v="0"/>
    <x v="0"/>
    <x v="2"/>
    <x v="1"/>
    <n v="0"/>
    <x v="2"/>
    <n v="12"/>
    <x v="1"/>
    <n v="7"/>
    <x v="2"/>
    <n v="10"/>
    <x v="2"/>
    <n v="4"/>
    <x v="2"/>
  </r>
  <r>
    <x v="0"/>
    <x v="0"/>
    <x v="0"/>
    <x v="2"/>
    <x v="1"/>
    <n v="20"/>
    <x v="0"/>
    <n v="19"/>
    <x v="0"/>
    <n v="15"/>
    <x v="0"/>
    <n v="25"/>
    <x v="1"/>
    <n v="0"/>
    <x v="0"/>
  </r>
  <r>
    <x v="1"/>
    <x v="0"/>
    <x v="1"/>
    <x v="0"/>
    <x v="0"/>
    <n v="10"/>
    <x v="2"/>
    <n v="19"/>
    <x v="0"/>
    <n v="23"/>
    <x v="1"/>
    <n v="25"/>
    <x v="1"/>
    <n v="1"/>
    <x v="0"/>
  </r>
  <r>
    <x v="1"/>
    <x v="0"/>
    <x v="1"/>
    <x v="12"/>
    <x v="0"/>
    <n v="10"/>
    <x v="2"/>
    <n v="21"/>
    <x v="0"/>
    <n v="24"/>
    <x v="1"/>
    <n v="25"/>
    <x v="1"/>
    <n v="1"/>
    <x v="0"/>
  </r>
  <r>
    <x v="1"/>
    <x v="0"/>
    <x v="1"/>
    <x v="2"/>
    <x v="1"/>
    <n v="0"/>
    <x v="2"/>
    <n v="12"/>
    <x v="1"/>
    <n v="16"/>
    <x v="0"/>
    <n v="21"/>
    <x v="2"/>
    <n v="3"/>
    <x v="1"/>
  </r>
  <r>
    <x v="1"/>
    <x v="0"/>
    <x v="1"/>
    <x v="3"/>
    <x v="1"/>
    <n v="0"/>
    <x v="2"/>
    <n v="18"/>
    <x v="0"/>
    <n v="0"/>
    <x v="2"/>
    <n v="20"/>
    <x v="2"/>
    <n v="3"/>
    <x v="1"/>
  </r>
  <r>
    <x v="1"/>
    <x v="0"/>
    <x v="1"/>
    <x v="9"/>
    <x v="2"/>
    <n v="9"/>
    <x v="2"/>
    <n v="16"/>
    <x v="0"/>
    <n v="18"/>
    <x v="1"/>
    <n v="22"/>
    <x v="1"/>
    <n v="2"/>
    <x v="0"/>
  </r>
  <r>
    <x v="1"/>
    <x v="0"/>
    <x v="1"/>
    <x v="8"/>
    <x v="2"/>
    <n v="10"/>
    <x v="2"/>
    <n v="19"/>
    <x v="0"/>
    <n v="8"/>
    <x v="2"/>
    <n v="23"/>
    <x v="1"/>
    <n v="3"/>
    <x v="1"/>
  </r>
  <r>
    <x v="1"/>
    <x v="0"/>
    <x v="1"/>
    <x v="3"/>
    <x v="1"/>
    <n v="11"/>
    <x v="2"/>
    <n v="18"/>
    <x v="0"/>
    <n v="19"/>
    <x v="1"/>
    <n v="25"/>
    <x v="1"/>
    <n v="1"/>
    <x v="0"/>
  </r>
  <r>
    <x v="1"/>
    <x v="0"/>
    <x v="1"/>
    <x v="4"/>
    <x v="0"/>
    <n v="0"/>
    <x v="2"/>
    <n v="20"/>
    <x v="0"/>
    <n v="10"/>
    <x v="2"/>
    <n v="0"/>
    <x v="2"/>
    <n v="3"/>
    <x v="1"/>
  </r>
  <r>
    <x v="1"/>
    <x v="0"/>
    <x v="1"/>
    <x v="13"/>
    <x v="2"/>
    <n v="8"/>
    <x v="2"/>
    <n v="20"/>
    <x v="0"/>
    <n v="12"/>
    <x v="2"/>
    <n v="0"/>
    <x v="2"/>
    <n v="4"/>
    <x v="2"/>
  </r>
  <r>
    <x v="1"/>
    <x v="0"/>
    <x v="1"/>
    <x v="2"/>
    <x v="1"/>
    <n v="0"/>
    <x v="2"/>
    <n v="17"/>
    <x v="0"/>
    <n v="7"/>
    <x v="2"/>
    <n v="22"/>
    <x v="1"/>
    <n v="2"/>
    <x v="0"/>
  </r>
  <r>
    <x v="1"/>
    <x v="0"/>
    <x v="1"/>
    <x v="3"/>
    <x v="1"/>
    <n v="24"/>
    <x v="1"/>
    <n v="11"/>
    <x v="1"/>
    <n v="9"/>
    <x v="2"/>
    <n v="20"/>
    <x v="2"/>
    <n v="3"/>
    <x v="1"/>
  </r>
  <r>
    <x v="1"/>
    <x v="0"/>
    <x v="1"/>
    <x v="9"/>
    <x v="2"/>
    <n v="0"/>
    <x v="2"/>
    <n v="0"/>
    <x v="1"/>
    <n v="8"/>
    <x v="2"/>
    <n v="21"/>
    <x v="2"/>
    <n v="5"/>
    <x v="3"/>
  </r>
  <r>
    <x v="1"/>
    <x v="0"/>
    <x v="1"/>
    <x v="14"/>
    <x v="2"/>
    <n v="0"/>
    <x v="2"/>
    <n v="0"/>
    <x v="1"/>
    <n v="12"/>
    <x v="2"/>
    <n v="20"/>
    <x v="2"/>
    <n v="5"/>
    <x v="3"/>
  </r>
  <r>
    <x v="1"/>
    <x v="0"/>
    <x v="1"/>
    <x v="8"/>
    <x v="2"/>
    <n v="11"/>
    <x v="2"/>
    <n v="20"/>
    <x v="0"/>
    <n v="15"/>
    <x v="0"/>
    <n v="24"/>
    <x v="1"/>
    <n v="2"/>
    <x v="0"/>
  </r>
  <r>
    <x v="1"/>
    <x v="0"/>
    <x v="1"/>
    <x v="12"/>
    <x v="0"/>
    <n v="11"/>
    <x v="2"/>
    <n v="21"/>
    <x v="0"/>
    <n v="10"/>
    <x v="2"/>
    <n v="23"/>
    <x v="1"/>
    <n v="2"/>
    <x v="0"/>
  </r>
  <r>
    <x v="1"/>
    <x v="0"/>
    <x v="1"/>
    <x v="15"/>
    <x v="2"/>
    <n v="0"/>
    <x v="2"/>
    <n v="20"/>
    <x v="0"/>
    <n v="0"/>
    <x v="2"/>
    <n v="28"/>
    <x v="0"/>
    <n v="3"/>
    <x v="1"/>
  </r>
  <r>
    <x v="1"/>
    <x v="0"/>
    <x v="1"/>
    <x v="11"/>
    <x v="1"/>
    <n v="0"/>
    <x v="2"/>
    <n v="0"/>
    <x v="1"/>
    <n v="20"/>
    <x v="1"/>
    <n v="22"/>
    <x v="1"/>
    <n v="2"/>
    <x v="0"/>
  </r>
  <r>
    <x v="1"/>
    <x v="0"/>
    <x v="1"/>
    <x v="2"/>
    <x v="1"/>
    <n v="10"/>
    <x v="2"/>
    <n v="18"/>
    <x v="0"/>
    <n v="0"/>
    <x v="2"/>
    <n v="22"/>
    <x v="1"/>
    <n v="2"/>
    <x v="0"/>
  </r>
  <r>
    <x v="2"/>
    <x v="0"/>
    <x v="2"/>
    <x v="16"/>
    <x v="0"/>
    <n v="0"/>
    <x v="2"/>
    <n v="18"/>
    <x v="0"/>
    <n v="7"/>
    <x v="2"/>
    <n v="25"/>
    <x v="1"/>
    <n v="2"/>
    <x v="0"/>
  </r>
  <r>
    <x v="2"/>
    <x v="0"/>
    <x v="2"/>
    <x v="15"/>
    <x v="2"/>
    <n v="0"/>
    <x v="2"/>
    <n v="0"/>
    <x v="1"/>
    <n v="0"/>
    <x v="2"/>
    <n v="24"/>
    <x v="1"/>
    <n v="4"/>
    <x v="2"/>
  </r>
  <r>
    <x v="2"/>
    <x v="0"/>
    <x v="2"/>
    <x v="0"/>
    <x v="0"/>
    <n v="9"/>
    <x v="2"/>
    <n v="19"/>
    <x v="0"/>
    <n v="20"/>
    <x v="1"/>
    <n v="25"/>
    <x v="1"/>
    <n v="1"/>
    <x v="0"/>
  </r>
  <r>
    <x v="2"/>
    <x v="0"/>
    <x v="2"/>
    <x v="6"/>
    <x v="0"/>
    <n v="0"/>
    <x v="2"/>
    <n v="19"/>
    <x v="0"/>
    <n v="9"/>
    <x v="2"/>
    <n v="23"/>
    <x v="1"/>
    <n v="2"/>
    <x v="0"/>
  </r>
  <r>
    <x v="2"/>
    <x v="0"/>
    <x v="2"/>
    <x v="12"/>
    <x v="0"/>
    <n v="11"/>
    <x v="2"/>
    <n v="19"/>
    <x v="0"/>
    <n v="20"/>
    <x v="1"/>
    <n v="21"/>
    <x v="2"/>
    <n v="2"/>
    <x v="0"/>
  </r>
  <r>
    <x v="2"/>
    <x v="0"/>
    <x v="2"/>
    <x v="17"/>
    <x v="0"/>
    <n v="0"/>
    <x v="2"/>
    <n v="20"/>
    <x v="0"/>
    <n v="15"/>
    <x v="0"/>
    <n v="20"/>
    <x v="2"/>
    <n v="2"/>
    <x v="0"/>
  </r>
  <r>
    <x v="2"/>
    <x v="0"/>
    <x v="2"/>
    <x v="1"/>
    <x v="0"/>
    <n v="0"/>
    <x v="2"/>
    <n v="24"/>
    <x v="0"/>
    <n v="25"/>
    <x v="1"/>
    <n v="20"/>
    <x v="2"/>
    <n v="2"/>
    <x v="0"/>
  </r>
  <r>
    <x v="2"/>
    <x v="0"/>
    <x v="2"/>
    <x v="17"/>
    <x v="0"/>
    <n v="12"/>
    <x v="2"/>
    <n v="25"/>
    <x v="0"/>
    <n v="28"/>
    <x v="1"/>
    <n v="25"/>
    <x v="1"/>
    <n v="1"/>
    <x v="0"/>
  </r>
  <r>
    <x v="2"/>
    <x v="0"/>
    <x v="2"/>
    <x v="3"/>
    <x v="1"/>
    <n v="22"/>
    <x v="1"/>
    <n v="18"/>
    <x v="0"/>
    <n v="0"/>
    <x v="2"/>
    <n v="28"/>
    <x v="0"/>
    <n v="1"/>
    <x v="0"/>
  </r>
  <r>
    <x v="2"/>
    <x v="0"/>
    <x v="2"/>
    <x v="6"/>
    <x v="0"/>
    <n v="12"/>
    <x v="2"/>
    <n v="15"/>
    <x v="0"/>
    <n v="15"/>
    <x v="0"/>
    <n v="0"/>
    <x v="2"/>
    <n v="2"/>
    <x v="0"/>
  </r>
  <r>
    <x v="2"/>
    <x v="0"/>
    <x v="2"/>
    <x v="14"/>
    <x v="2"/>
    <n v="0"/>
    <x v="2"/>
    <n v="6"/>
    <x v="1"/>
    <n v="17"/>
    <x v="0"/>
    <n v="12"/>
    <x v="2"/>
    <n v="4"/>
    <x v="2"/>
  </r>
  <r>
    <x v="2"/>
    <x v="0"/>
    <x v="2"/>
    <x v="2"/>
    <x v="1"/>
    <n v="20"/>
    <x v="0"/>
    <n v="20"/>
    <x v="0"/>
    <n v="16"/>
    <x v="0"/>
    <n v="0"/>
    <x v="2"/>
    <n v="1"/>
    <x v="0"/>
  </r>
  <r>
    <x v="2"/>
    <x v="0"/>
    <x v="2"/>
    <x v="17"/>
    <x v="0"/>
    <n v="0"/>
    <x v="2"/>
    <n v="24"/>
    <x v="0"/>
    <n v="28"/>
    <x v="1"/>
    <n v="29"/>
    <x v="0"/>
    <n v="1"/>
    <x v="0"/>
  </r>
  <r>
    <x v="2"/>
    <x v="0"/>
    <x v="2"/>
    <x v="0"/>
    <x v="0"/>
    <n v="0"/>
    <x v="2"/>
    <n v="20"/>
    <x v="0"/>
    <n v="16"/>
    <x v="0"/>
    <n v="20"/>
    <x v="2"/>
    <n v="2"/>
    <x v="0"/>
  </r>
  <r>
    <x v="2"/>
    <x v="0"/>
    <x v="2"/>
    <x v="1"/>
    <x v="0"/>
    <n v="0"/>
    <x v="2"/>
    <n v="20"/>
    <x v="0"/>
    <n v="16"/>
    <x v="0"/>
    <n v="26"/>
    <x v="0"/>
    <n v="1"/>
    <x v="0"/>
  </r>
  <r>
    <x v="2"/>
    <x v="0"/>
    <x v="2"/>
    <x v="0"/>
    <x v="0"/>
    <n v="20"/>
    <x v="0"/>
    <n v="17"/>
    <x v="0"/>
    <n v="15"/>
    <x v="0"/>
    <n v="25"/>
    <x v="1"/>
    <n v="0"/>
    <x v="0"/>
  </r>
  <r>
    <x v="2"/>
    <x v="0"/>
    <x v="2"/>
    <x v="0"/>
    <x v="0"/>
    <n v="24"/>
    <x v="1"/>
    <n v="16"/>
    <x v="0"/>
    <n v="20"/>
    <x v="1"/>
    <n v="25"/>
    <x v="1"/>
    <n v="0"/>
    <x v="0"/>
  </r>
  <r>
    <x v="2"/>
    <x v="0"/>
    <x v="2"/>
    <x v="3"/>
    <x v="1"/>
    <n v="0"/>
    <x v="2"/>
    <n v="16"/>
    <x v="0"/>
    <n v="4"/>
    <x v="2"/>
    <n v="20"/>
    <x v="2"/>
    <n v="3"/>
    <x v="1"/>
  </r>
  <r>
    <x v="2"/>
    <x v="0"/>
    <x v="2"/>
    <x v="1"/>
    <x v="0"/>
    <n v="7"/>
    <x v="2"/>
    <n v="20"/>
    <x v="0"/>
    <n v="20"/>
    <x v="1"/>
    <n v="20"/>
    <x v="2"/>
    <n v="2"/>
    <x v="0"/>
  </r>
  <r>
    <x v="2"/>
    <x v="0"/>
    <x v="2"/>
    <x v="2"/>
    <x v="1"/>
    <n v="0"/>
    <x v="2"/>
    <n v="20"/>
    <x v="0"/>
    <n v="11"/>
    <x v="2"/>
    <n v="0"/>
    <x v="2"/>
    <n v="3"/>
    <x v="1"/>
  </r>
  <r>
    <x v="2"/>
    <x v="0"/>
    <x v="2"/>
    <x v="1"/>
    <x v="0"/>
    <n v="0"/>
    <x v="2"/>
    <n v="20"/>
    <x v="0"/>
    <n v="18"/>
    <x v="1"/>
    <n v="25"/>
    <x v="1"/>
    <n v="1"/>
    <x v="0"/>
  </r>
  <r>
    <x v="2"/>
    <x v="0"/>
    <x v="2"/>
    <x v="1"/>
    <x v="0"/>
    <n v="18"/>
    <x v="0"/>
    <n v="16"/>
    <x v="0"/>
    <n v="25"/>
    <x v="1"/>
    <n v="20"/>
    <x v="2"/>
    <n v="1"/>
    <x v="0"/>
  </r>
  <r>
    <x v="2"/>
    <x v="0"/>
    <x v="2"/>
    <x v="17"/>
    <x v="0"/>
    <n v="20"/>
    <x v="0"/>
    <n v="25"/>
    <x v="0"/>
    <n v="25"/>
    <x v="1"/>
    <n v="25"/>
    <x v="1"/>
    <n v="0"/>
    <x v="0"/>
  </r>
  <r>
    <x v="2"/>
    <x v="0"/>
    <x v="2"/>
    <x v="1"/>
    <x v="0"/>
    <n v="0"/>
    <x v="2"/>
    <n v="20"/>
    <x v="0"/>
    <n v="17"/>
    <x v="0"/>
    <n v="25"/>
    <x v="1"/>
    <n v="1"/>
    <x v="0"/>
  </r>
  <r>
    <x v="3"/>
    <x v="1"/>
    <x v="0"/>
    <x v="6"/>
    <x v="0"/>
    <n v="0"/>
    <x v="2"/>
    <n v="16"/>
    <x v="0"/>
    <n v="0"/>
    <x v="2"/>
    <n v="30"/>
    <x v="0"/>
    <n v="2"/>
    <x v="0"/>
  </r>
  <r>
    <x v="3"/>
    <x v="1"/>
    <x v="0"/>
    <x v="12"/>
    <x v="0"/>
    <n v="20"/>
    <x v="0"/>
    <n v="10"/>
    <x v="1"/>
    <n v="9"/>
    <x v="2"/>
    <n v="23"/>
    <x v="1"/>
    <n v="2"/>
    <x v="0"/>
  </r>
  <r>
    <x v="3"/>
    <x v="1"/>
    <x v="0"/>
    <x v="11"/>
    <x v="1"/>
    <n v="0"/>
    <x v="2"/>
    <n v="15"/>
    <x v="0"/>
    <n v="0"/>
    <x v="2"/>
    <n v="22"/>
    <x v="1"/>
    <n v="2"/>
    <x v="0"/>
  </r>
  <r>
    <x v="3"/>
    <x v="1"/>
    <x v="0"/>
    <x v="3"/>
    <x v="1"/>
    <n v="12"/>
    <x v="2"/>
    <n v="17"/>
    <x v="0"/>
    <n v="0"/>
    <x v="2"/>
    <n v="19"/>
    <x v="2"/>
    <n v="3"/>
    <x v="1"/>
  </r>
  <r>
    <x v="3"/>
    <x v="1"/>
    <x v="0"/>
    <x v="2"/>
    <x v="1"/>
    <n v="0"/>
    <x v="2"/>
    <n v="15"/>
    <x v="0"/>
    <n v="0"/>
    <x v="2"/>
    <n v="20"/>
    <x v="2"/>
    <n v="3"/>
    <x v="1"/>
  </r>
  <r>
    <x v="3"/>
    <x v="1"/>
    <x v="0"/>
    <x v="14"/>
    <x v="2"/>
    <n v="0"/>
    <x v="2"/>
    <n v="15"/>
    <x v="0"/>
    <n v="0"/>
    <x v="2"/>
    <n v="12"/>
    <x v="2"/>
    <n v="4"/>
    <x v="2"/>
  </r>
  <r>
    <x v="3"/>
    <x v="1"/>
    <x v="0"/>
    <x v="8"/>
    <x v="2"/>
    <n v="24"/>
    <x v="1"/>
    <n v="13"/>
    <x v="2"/>
    <n v="9"/>
    <x v="2"/>
    <n v="32"/>
    <x v="0"/>
    <n v="2"/>
    <x v="0"/>
  </r>
  <r>
    <x v="3"/>
    <x v="1"/>
    <x v="0"/>
    <x v="5"/>
    <x v="0"/>
    <n v="0"/>
    <x v="2"/>
    <n v="15"/>
    <x v="0"/>
    <n v="0"/>
    <x v="2"/>
    <n v="10"/>
    <x v="2"/>
    <n v="3"/>
    <x v="1"/>
  </r>
  <r>
    <x v="3"/>
    <x v="1"/>
    <x v="0"/>
    <x v="3"/>
    <x v="1"/>
    <n v="18"/>
    <x v="0"/>
    <n v="15"/>
    <x v="0"/>
    <n v="0"/>
    <x v="2"/>
    <n v="25"/>
    <x v="1"/>
    <n v="1"/>
    <x v="0"/>
  </r>
  <r>
    <x v="3"/>
    <x v="1"/>
    <x v="0"/>
    <x v="14"/>
    <x v="2"/>
    <n v="12"/>
    <x v="2"/>
    <n v="15"/>
    <x v="0"/>
    <n v="0"/>
    <x v="2"/>
    <n v="21"/>
    <x v="2"/>
    <n v="4"/>
    <x v="2"/>
  </r>
  <r>
    <x v="3"/>
    <x v="1"/>
    <x v="0"/>
    <x v="6"/>
    <x v="0"/>
    <n v="11"/>
    <x v="2"/>
    <n v="17"/>
    <x v="0"/>
    <n v="0"/>
    <x v="2"/>
    <n v="21"/>
    <x v="2"/>
    <n v="3"/>
    <x v="1"/>
  </r>
  <r>
    <x v="3"/>
    <x v="1"/>
    <x v="0"/>
    <x v="16"/>
    <x v="0"/>
    <n v="12"/>
    <x v="2"/>
    <n v="8"/>
    <x v="1"/>
    <n v="0"/>
    <x v="2"/>
    <n v="22"/>
    <x v="1"/>
    <n v="3"/>
    <x v="1"/>
  </r>
  <r>
    <x v="3"/>
    <x v="1"/>
    <x v="0"/>
    <x v="3"/>
    <x v="1"/>
    <n v="15"/>
    <x v="2"/>
    <n v="9"/>
    <x v="1"/>
    <n v="0"/>
    <x v="2"/>
    <n v="20"/>
    <x v="2"/>
    <n v="4"/>
    <x v="2"/>
  </r>
  <r>
    <x v="3"/>
    <x v="1"/>
    <x v="0"/>
    <x v="6"/>
    <x v="0"/>
    <n v="32"/>
    <x v="1"/>
    <n v="22"/>
    <x v="0"/>
    <n v="13"/>
    <x v="2"/>
    <n v="19"/>
    <x v="2"/>
    <n v="2"/>
    <x v="0"/>
  </r>
  <r>
    <x v="3"/>
    <x v="1"/>
    <x v="0"/>
    <x v="3"/>
    <x v="1"/>
    <n v="25"/>
    <x v="1"/>
    <n v="18"/>
    <x v="0"/>
    <n v="7"/>
    <x v="2"/>
    <n v="20"/>
    <x v="2"/>
    <n v="2"/>
    <x v="0"/>
  </r>
  <r>
    <x v="3"/>
    <x v="1"/>
    <x v="0"/>
    <x v="2"/>
    <x v="1"/>
    <n v="13"/>
    <x v="2"/>
    <n v="0"/>
    <x v="1"/>
    <n v="0"/>
    <x v="2"/>
    <n v="0"/>
    <x v="2"/>
    <n v="4"/>
    <x v="2"/>
  </r>
  <r>
    <x v="3"/>
    <x v="1"/>
    <x v="0"/>
    <x v="2"/>
    <x v="1"/>
    <n v="0"/>
    <x v="2"/>
    <n v="8"/>
    <x v="1"/>
    <n v="0"/>
    <x v="2"/>
    <n v="20"/>
    <x v="2"/>
    <n v="4"/>
    <x v="2"/>
  </r>
  <r>
    <x v="3"/>
    <x v="1"/>
    <x v="0"/>
    <x v="16"/>
    <x v="0"/>
    <n v="0"/>
    <x v="2"/>
    <n v="15"/>
    <x v="0"/>
    <n v="0"/>
    <x v="2"/>
    <n v="25"/>
    <x v="1"/>
    <n v="2"/>
    <x v="0"/>
  </r>
  <r>
    <x v="3"/>
    <x v="1"/>
    <x v="0"/>
    <x v="0"/>
    <x v="0"/>
    <n v="11"/>
    <x v="2"/>
    <n v="16"/>
    <x v="0"/>
    <n v="0"/>
    <x v="2"/>
    <n v="15"/>
    <x v="2"/>
    <n v="3"/>
    <x v="1"/>
  </r>
  <r>
    <x v="3"/>
    <x v="1"/>
    <x v="0"/>
    <x v="16"/>
    <x v="0"/>
    <n v="13"/>
    <x v="2"/>
    <n v="15"/>
    <x v="0"/>
    <n v="0"/>
    <x v="2"/>
    <n v="17"/>
    <x v="2"/>
    <n v="3"/>
    <x v="1"/>
  </r>
  <r>
    <x v="3"/>
    <x v="1"/>
    <x v="0"/>
    <x v="5"/>
    <x v="0"/>
    <n v="8"/>
    <x v="2"/>
    <n v="20"/>
    <x v="0"/>
    <n v="12"/>
    <x v="2"/>
    <n v="0"/>
    <x v="2"/>
    <n v="3"/>
    <x v="1"/>
  </r>
  <r>
    <x v="3"/>
    <x v="1"/>
    <x v="0"/>
    <x v="0"/>
    <x v="0"/>
    <n v="0"/>
    <x v="2"/>
    <n v="17"/>
    <x v="0"/>
    <n v="0"/>
    <x v="2"/>
    <n v="11"/>
    <x v="2"/>
    <n v="3"/>
    <x v="1"/>
  </r>
  <r>
    <x v="3"/>
    <x v="1"/>
    <x v="0"/>
    <x v="0"/>
    <x v="0"/>
    <n v="0"/>
    <x v="2"/>
    <n v="16"/>
    <x v="0"/>
    <n v="0"/>
    <x v="2"/>
    <n v="19"/>
    <x v="2"/>
    <n v="3"/>
    <x v="1"/>
  </r>
  <r>
    <x v="4"/>
    <x v="1"/>
    <x v="1"/>
    <x v="16"/>
    <x v="0"/>
    <n v="10"/>
    <x v="2"/>
    <n v="15"/>
    <x v="0"/>
    <n v="0"/>
    <x v="2"/>
    <n v="15"/>
    <x v="2"/>
    <n v="3"/>
    <x v="1"/>
  </r>
  <r>
    <x v="4"/>
    <x v="1"/>
    <x v="1"/>
    <x v="2"/>
    <x v="1"/>
    <n v="11"/>
    <x v="2"/>
    <n v="14"/>
    <x v="2"/>
    <n v="0"/>
    <x v="2"/>
    <n v="20"/>
    <x v="2"/>
    <n v="3"/>
    <x v="1"/>
  </r>
  <r>
    <x v="4"/>
    <x v="1"/>
    <x v="1"/>
    <x v="2"/>
    <x v="1"/>
    <n v="11"/>
    <x v="2"/>
    <n v="10"/>
    <x v="1"/>
    <n v="0"/>
    <x v="2"/>
    <n v="17"/>
    <x v="2"/>
    <n v="4"/>
    <x v="2"/>
  </r>
  <r>
    <x v="4"/>
    <x v="1"/>
    <x v="1"/>
    <x v="2"/>
    <x v="1"/>
    <n v="0"/>
    <x v="2"/>
    <n v="15"/>
    <x v="0"/>
    <n v="0"/>
    <x v="2"/>
    <n v="0"/>
    <x v="2"/>
    <n v="3"/>
    <x v="1"/>
  </r>
  <r>
    <x v="4"/>
    <x v="1"/>
    <x v="1"/>
    <x v="2"/>
    <x v="1"/>
    <n v="12"/>
    <x v="2"/>
    <n v="17"/>
    <x v="0"/>
    <n v="0"/>
    <x v="2"/>
    <n v="17"/>
    <x v="2"/>
    <n v="3"/>
    <x v="1"/>
  </r>
  <r>
    <x v="4"/>
    <x v="1"/>
    <x v="1"/>
    <x v="16"/>
    <x v="0"/>
    <n v="15"/>
    <x v="2"/>
    <n v="15"/>
    <x v="0"/>
    <n v="0"/>
    <x v="2"/>
    <n v="7"/>
    <x v="2"/>
    <n v="3"/>
    <x v="1"/>
  </r>
  <r>
    <x v="4"/>
    <x v="1"/>
    <x v="1"/>
    <x v="0"/>
    <x v="0"/>
    <n v="0"/>
    <x v="2"/>
    <n v="17"/>
    <x v="0"/>
    <n v="7"/>
    <x v="2"/>
    <n v="21"/>
    <x v="2"/>
    <n v="3"/>
    <x v="1"/>
  </r>
  <r>
    <x v="4"/>
    <x v="1"/>
    <x v="1"/>
    <x v="1"/>
    <x v="0"/>
    <n v="0"/>
    <x v="2"/>
    <n v="19"/>
    <x v="0"/>
    <n v="15"/>
    <x v="0"/>
    <n v="25"/>
    <x v="1"/>
    <n v="1"/>
    <x v="0"/>
  </r>
  <r>
    <x v="4"/>
    <x v="1"/>
    <x v="1"/>
    <x v="15"/>
    <x v="2"/>
    <n v="0"/>
    <x v="2"/>
    <n v="0"/>
    <x v="1"/>
    <n v="0"/>
    <x v="2"/>
    <n v="24"/>
    <x v="1"/>
    <n v="4"/>
    <x v="2"/>
  </r>
  <r>
    <x v="4"/>
    <x v="1"/>
    <x v="1"/>
    <x v="1"/>
    <x v="0"/>
    <n v="0"/>
    <x v="2"/>
    <n v="15"/>
    <x v="0"/>
    <n v="7"/>
    <x v="2"/>
    <n v="20"/>
    <x v="2"/>
    <n v="3"/>
    <x v="1"/>
  </r>
  <r>
    <x v="4"/>
    <x v="1"/>
    <x v="1"/>
    <x v="2"/>
    <x v="1"/>
    <n v="0"/>
    <x v="2"/>
    <n v="16"/>
    <x v="0"/>
    <n v="0"/>
    <x v="2"/>
    <n v="15"/>
    <x v="2"/>
    <n v="3"/>
    <x v="1"/>
  </r>
  <r>
    <x v="4"/>
    <x v="1"/>
    <x v="1"/>
    <x v="0"/>
    <x v="0"/>
    <n v="0"/>
    <x v="2"/>
    <n v="20"/>
    <x v="0"/>
    <n v="0"/>
    <x v="2"/>
    <n v="20"/>
    <x v="2"/>
    <n v="3"/>
    <x v="1"/>
  </r>
  <r>
    <x v="4"/>
    <x v="1"/>
    <x v="1"/>
    <x v="2"/>
    <x v="1"/>
    <n v="0"/>
    <x v="2"/>
    <n v="19"/>
    <x v="0"/>
    <n v="0"/>
    <x v="2"/>
    <n v="22"/>
    <x v="1"/>
    <n v="2"/>
    <x v="0"/>
  </r>
  <r>
    <x v="4"/>
    <x v="1"/>
    <x v="1"/>
    <x v="2"/>
    <x v="1"/>
    <n v="0"/>
    <x v="2"/>
    <n v="15"/>
    <x v="0"/>
    <n v="0"/>
    <x v="2"/>
    <n v="20"/>
    <x v="2"/>
    <n v="3"/>
    <x v="1"/>
  </r>
  <r>
    <x v="4"/>
    <x v="1"/>
    <x v="1"/>
    <x v="1"/>
    <x v="0"/>
    <n v="7"/>
    <x v="2"/>
    <n v="19"/>
    <x v="0"/>
    <n v="0"/>
    <x v="2"/>
    <n v="22"/>
    <x v="1"/>
    <n v="2"/>
    <x v="0"/>
  </r>
  <r>
    <x v="4"/>
    <x v="1"/>
    <x v="1"/>
    <x v="2"/>
    <x v="1"/>
    <n v="20"/>
    <x v="0"/>
    <n v="10"/>
    <x v="1"/>
    <n v="0"/>
    <x v="2"/>
    <n v="20"/>
    <x v="2"/>
    <n v="3"/>
    <x v="1"/>
  </r>
  <r>
    <x v="4"/>
    <x v="1"/>
    <x v="1"/>
    <x v="0"/>
    <x v="0"/>
    <n v="0"/>
    <x v="2"/>
    <n v="28"/>
    <x v="0"/>
    <n v="0"/>
    <x v="2"/>
    <n v="25"/>
    <x v="1"/>
    <n v="2"/>
    <x v="0"/>
  </r>
  <r>
    <x v="4"/>
    <x v="1"/>
    <x v="1"/>
    <x v="2"/>
    <x v="1"/>
    <n v="0"/>
    <x v="2"/>
    <n v="20"/>
    <x v="0"/>
    <n v="0"/>
    <x v="2"/>
    <n v="20"/>
    <x v="2"/>
    <n v="3"/>
    <x v="1"/>
  </r>
  <r>
    <x v="4"/>
    <x v="1"/>
    <x v="1"/>
    <x v="1"/>
    <x v="0"/>
    <n v="0"/>
    <x v="2"/>
    <n v="20"/>
    <x v="0"/>
    <n v="20"/>
    <x v="1"/>
    <n v="20"/>
    <x v="2"/>
    <n v="2"/>
    <x v="0"/>
  </r>
  <r>
    <x v="4"/>
    <x v="1"/>
    <x v="1"/>
    <x v="0"/>
    <x v="0"/>
    <n v="10"/>
    <x v="2"/>
    <n v="15"/>
    <x v="0"/>
    <n v="0"/>
    <x v="2"/>
    <n v="20"/>
    <x v="2"/>
    <n v="3"/>
    <x v="1"/>
  </r>
  <r>
    <x v="4"/>
    <x v="1"/>
    <x v="1"/>
    <x v="0"/>
    <x v="0"/>
    <n v="10"/>
    <x v="2"/>
    <n v="20"/>
    <x v="0"/>
    <n v="22"/>
    <x v="1"/>
    <n v="25"/>
    <x v="1"/>
    <n v="1"/>
    <x v="0"/>
  </r>
  <r>
    <x v="4"/>
    <x v="1"/>
    <x v="1"/>
    <x v="1"/>
    <x v="0"/>
    <n v="0"/>
    <x v="2"/>
    <n v="20"/>
    <x v="0"/>
    <n v="0"/>
    <x v="2"/>
    <n v="22"/>
    <x v="1"/>
    <n v="2"/>
    <x v="0"/>
  </r>
  <r>
    <x v="4"/>
    <x v="1"/>
    <x v="1"/>
    <x v="1"/>
    <x v="0"/>
    <n v="10"/>
    <x v="2"/>
    <n v="20"/>
    <x v="0"/>
    <n v="0"/>
    <x v="2"/>
    <n v="25"/>
    <x v="1"/>
    <n v="2"/>
    <x v="0"/>
  </r>
  <r>
    <x v="5"/>
    <x v="1"/>
    <x v="2"/>
    <x v="0"/>
    <x v="0"/>
    <n v="25"/>
    <x v="1"/>
    <n v="18"/>
    <x v="0"/>
    <n v="15"/>
    <x v="0"/>
    <n v="21"/>
    <x v="2"/>
    <n v="1"/>
    <x v="0"/>
  </r>
  <r>
    <x v="5"/>
    <x v="1"/>
    <x v="2"/>
    <x v="0"/>
    <x v="0"/>
    <n v="0"/>
    <x v="2"/>
    <n v="20"/>
    <x v="0"/>
    <n v="7"/>
    <x v="2"/>
    <n v="20"/>
    <x v="2"/>
    <n v="3"/>
    <x v="1"/>
  </r>
  <r>
    <x v="5"/>
    <x v="1"/>
    <x v="2"/>
    <x v="18"/>
    <x v="2"/>
    <n v="15"/>
    <x v="2"/>
    <n v="20"/>
    <x v="0"/>
    <n v="7"/>
    <x v="2"/>
    <n v="20"/>
    <x v="2"/>
    <n v="4"/>
    <x v="2"/>
  </r>
  <r>
    <x v="5"/>
    <x v="1"/>
    <x v="2"/>
    <x v="6"/>
    <x v="0"/>
    <n v="10"/>
    <x v="2"/>
    <n v="18"/>
    <x v="0"/>
    <n v="10"/>
    <x v="2"/>
    <n v="23"/>
    <x v="1"/>
    <n v="2"/>
    <x v="0"/>
  </r>
  <r>
    <x v="5"/>
    <x v="1"/>
    <x v="2"/>
    <x v="12"/>
    <x v="0"/>
    <n v="20"/>
    <x v="0"/>
    <n v="20"/>
    <x v="0"/>
    <n v="17"/>
    <x v="0"/>
    <n v="25"/>
    <x v="1"/>
    <n v="0"/>
    <x v="0"/>
  </r>
  <r>
    <x v="5"/>
    <x v="1"/>
    <x v="2"/>
    <x v="0"/>
    <x v="0"/>
    <n v="25"/>
    <x v="1"/>
    <n v="20"/>
    <x v="0"/>
    <n v="20"/>
    <x v="1"/>
    <n v="30"/>
    <x v="0"/>
    <n v="0"/>
    <x v="0"/>
  </r>
  <r>
    <x v="5"/>
    <x v="1"/>
    <x v="2"/>
    <x v="19"/>
    <x v="0"/>
    <n v="24"/>
    <x v="1"/>
    <n v="20"/>
    <x v="0"/>
    <n v="10"/>
    <x v="2"/>
    <n v="0"/>
    <x v="2"/>
    <n v="2"/>
    <x v="0"/>
  </r>
  <r>
    <x v="5"/>
    <x v="1"/>
    <x v="2"/>
    <x v="20"/>
    <x v="0"/>
    <n v="0"/>
    <x v="2"/>
    <n v="24"/>
    <x v="0"/>
    <n v="18"/>
    <x v="1"/>
    <n v="25"/>
    <x v="1"/>
    <n v="1"/>
    <x v="0"/>
  </r>
  <r>
    <x v="5"/>
    <x v="1"/>
    <x v="2"/>
    <x v="10"/>
    <x v="0"/>
    <n v="10"/>
    <x v="2"/>
    <n v="15"/>
    <x v="0"/>
    <n v="17"/>
    <x v="0"/>
    <n v="25"/>
    <x v="1"/>
    <n v="1"/>
    <x v="0"/>
  </r>
  <r>
    <x v="5"/>
    <x v="1"/>
    <x v="2"/>
    <x v="7"/>
    <x v="0"/>
    <n v="0"/>
    <x v="2"/>
    <n v="25"/>
    <x v="0"/>
    <n v="30"/>
    <x v="1"/>
    <n v="30"/>
    <x v="0"/>
    <n v="1"/>
    <x v="0"/>
  </r>
  <r>
    <x v="5"/>
    <x v="1"/>
    <x v="2"/>
    <x v="21"/>
    <x v="0"/>
    <n v="10"/>
    <x v="2"/>
    <n v="16"/>
    <x v="0"/>
    <n v="20"/>
    <x v="1"/>
    <n v="20"/>
    <x v="2"/>
    <n v="2"/>
    <x v="0"/>
  </r>
  <r>
    <x v="5"/>
    <x v="1"/>
    <x v="2"/>
    <x v="20"/>
    <x v="0"/>
    <n v="5"/>
    <x v="2"/>
    <n v="25"/>
    <x v="0"/>
    <n v="17"/>
    <x v="0"/>
    <n v="25"/>
    <x v="1"/>
    <n v="1"/>
    <x v="0"/>
  </r>
  <r>
    <x v="5"/>
    <x v="1"/>
    <x v="2"/>
    <x v="22"/>
    <x v="0"/>
    <n v="0"/>
    <x v="2"/>
    <n v="20"/>
    <x v="0"/>
    <n v="15"/>
    <x v="0"/>
    <n v="20"/>
    <x v="2"/>
    <n v="2"/>
    <x v="0"/>
  </r>
  <r>
    <x v="5"/>
    <x v="1"/>
    <x v="2"/>
    <x v="0"/>
    <x v="0"/>
    <n v="10"/>
    <x v="2"/>
    <n v="20"/>
    <x v="0"/>
    <n v="17"/>
    <x v="0"/>
    <n v="17"/>
    <x v="2"/>
    <n v="2"/>
    <x v="0"/>
  </r>
  <r>
    <x v="5"/>
    <x v="1"/>
    <x v="2"/>
    <x v="1"/>
    <x v="0"/>
    <n v="10"/>
    <x v="2"/>
    <n v="25"/>
    <x v="0"/>
    <n v="15"/>
    <x v="0"/>
    <n v="25"/>
    <x v="1"/>
    <n v="1"/>
    <x v="0"/>
  </r>
  <r>
    <x v="5"/>
    <x v="1"/>
    <x v="2"/>
    <x v="1"/>
    <x v="0"/>
    <n v="10"/>
    <x v="2"/>
    <n v="25"/>
    <x v="0"/>
    <n v="25"/>
    <x v="1"/>
    <n v="20"/>
    <x v="2"/>
    <n v="2"/>
    <x v="0"/>
  </r>
  <r>
    <x v="5"/>
    <x v="1"/>
    <x v="2"/>
    <x v="1"/>
    <x v="0"/>
    <n v="0"/>
    <x v="2"/>
    <n v="25"/>
    <x v="0"/>
    <n v="30"/>
    <x v="1"/>
    <n v="30"/>
    <x v="0"/>
    <n v="1"/>
    <x v="0"/>
  </r>
  <r>
    <x v="5"/>
    <x v="1"/>
    <x v="2"/>
    <x v="0"/>
    <x v="0"/>
    <n v="10"/>
    <x v="2"/>
    <n v="15"/>
    <x v="0"/>
    <n v="15"/>
    <x v="0"/>
    <n v="20"/>
    <x v="2"/>
    <n v="2"/>
    <x v="0"/>
  </r>
  <r>
    <x v="5"/>
    <x v="1"/>
    <x v="2"/>
    <x v="1"/>
    <x v="0"/>
    <n v="0"/>
    <x v="2"/>
    <n v="20"/>
    <x v="0"/>
    <n v="12"/>
    <x v="2"/>
    <n v="20"/>
    <x v="2"/>
    <n v="3"/>
    <x v="1"/>
  </r>
  <r>
    <x v="5"/>
    <x v="1"/>
    <x v="2"/>
    <x v="7"/>
    <x v="0"/>
    <n v="7"/>
    <x v="2"/>
    <n v="20"/>
    <x v="0"/>
    <n v="20"/>
    <x v="1"/>
    <n v="23"/>
    <x v="1"/>
    <n v="1"/>
    <x v="0"/>
  </r>
  <r>
    <x v="5"/>
    <x v="1"/>
    <x v="2"/>
    <x v="0"/>
    <x v="0"/>
    <n v="0"/>
    <x v="2"/>
    <n v="18"/>
    <x v="0"/>
    <n v="10"/>
    <x v="2"/>
    <n v="20"/>
    <x v="2"/>
    <n v="3"/>
    <x v="1"/>
  </r>
  <r>
    <x v="5"/>
    <x v="1"/>
    <x v="2"/>
    <x v="22"/>
    <x v="0"/>
    <n v="10"/>
    <x v="2"/>
    <n v="21"/>
    <x v="0"/>
    <n v="7"/>
    <x v="2"/>
    <n v="20"/>
    <x v="2"/>
    <n v="3"/>
    <x v="1"/>
  </r>
  <r>
    <x v="5"/>
    <x v="1"/>
    <x v="2"/>
    <x v="1"/>
    <x v="0"/>
    <n v="12"/>
    <x v="2"/>
    <n v="17"/>
    <x v="0"/>
    <n v="25"/>
    <x v="1"/>
    <n v="15"/>
    <x v="2"/>
    <n v="2"/>
    <x v="0"/>
  </r>
  <r>
    <x v="6"/>
    <x v="2"/>
    <x v="0"/>
    <x v="13"/>
    <x v="2"/>
    <n v="23"/>
    <x v="1"/>
    <n v="16"/>
    <x v="0"/>
    <n v="8"/>
    <x v="2"/>
    <n v="11"/>
    <x v="2"/>
    <n v="3"/>
    <x v="1"/>
  </r>
  <r>
    <x v="6"/>
    <x v="2"/>
    <x v="0"/>
    <x v="2"/>
    <x v="1"/>
    <n v="8"/>
    <x v="2"/>
    <n v="14"/>
    <x v="2"/>
    <n v="19"/>
    <x v="1"/>
    <n v="22"/>
    <x v="1"/>
    <n v="1"/>
    <x v="0"/>
  </r>
  <r>
    <x v="6"/>
    <x v="2"/>
    <x v="0"/>
    <x v="2"/>
    <x v="1"/>
    <n v="0"/>
    <x v="2"/>
    <n v="10"/>
    <x v="1"/>
    <n v="0"/>
    <x v="2"/>
    <n v="17"/>
    <x v="2"/>
    <n v="4"/>
    <x v="2"/>
  </r>
  <r>
    <x v="6"/>
    <x v="2"/>
    <x v="0"/>
    <x v="8"/>
    <x v="2"/>
    <n v="15"/>
    <x v="2"/>
    <n v="15"/>
    <x v="0"/>
    <n v="10"/>
    <x v="2"/>
    <n v="0"/>
    <x v="2"/>
    <n v="4"/>
    <x v="2"/>
  </r>
  <r>
    <x v="6"/>
    <x v="2"/>
    <x v="0"/>
    <x v="3"/>
    <x v="1"/>
    <n v="9"/>
    <x v="2"/>
    <n v="13"/>
    <x v="2"/>
    <n v="17"/>
    <x v="0"/>
    <n v="12"/>
    <x v="2"/>
    <n v="2"/>
    <x v="0"/>
  </r>
  <r>
    <x v="6"/>
    <x v="2"/>
    <x v="0"/>
    <x v="3"/>
    <x v="1"/>
    <n v="0"/>
    <x v="2"/>
    <n v="13"/>
    <x v="2"/>
    <n v="14"/>
    <x v="0"/>
    <n v="7"/>
    <x v="2"/>
    <n v="2"/>
    <x v="0"/>
  </r>
  <r>
    <x v="6"/>
    <x v="2"/>
    <x v="0"/>
    <x v="14"/>
    <x v="2"/>
    <n v="0"/>
    <x v="2"/>
    <n v="8"/>
    <x v="1"/>
    <n v="12"/>
    <x v="2"/>
    <n v="0"/>
    <x v="2"/>
    <n v="5"/>
    <x v="3"/>
  </r>
  <r>
    <x v="6"/>
    <x v="2"/>
    <x v="0"/>
    <x v="9"/>
    <x v="2"/>
    <n v="0"/>
    <x v="2"/>
    <n v="7"/>
    <x v="1"/>
    <n v="9"/>
    <x v="2"/>
    <n v="0"/>
    <x v="2"/>
    <n v="5"/>
    <x v="3"/>
  </r>
  <r>
    <x v="6"/>
    <x v="2"/>
    <x v="0"/>
    <x v="8"/>
    <x v="2"/>
    <n v="13"/>
    <x v="2"/>
    <n v="7"/>
    <x v="1"/>
    <n v="11"/>
    <x v="2"/>
    <n v="12"/>
    <x v="2"/>
    <n v="5"/>
    <x v="3"/>
  </r>
  <r>
    <x v="6"/>
    <x v="2"/>
    <x v="0"/>
    <x v="16"/>
    <x v="0"/>
    <n v="19"/>
    <x v="0"/>
    <n v="18"/>
    <x v="0"/>
    <n v="18"/>
    <x v="1"/>
    <n v="22"/>
    <x v="1"/>
    <n v="0"/>
    <x v="0"/>
  </r>
  <r>
    <x v="6"/>
    <x v="2"/>
    <x v="0"/>
    <x v="16"/>
    <x v="0"/>
    <n v="13"/>
    <x v="2"/>
    <n v="17"/>
    <x v="0"/>
    <n v="0"/>
    <x v="2"/>
    <n v="24"/>
    <x v="1"/>
    <n v="2"/>
    <x v="0"/>
  </r>
  <r>
    <x v="6"/>
    <x v="2"/>
    <x v="0"/>
    <x v="13"/>
    <x v="2"/>
    <n v="0"/>
    <x v="2"/>
    <n v="12"/>
    <x v="1"/>
    <n v="0"/>
    <x v="2"/>
    <n v="20"/>
    <x v="2"/>
    <n v="5"/>
    <x v="3"/>
  </r>
  <r>
    <x v="6"/>
    <x v="2"/>
    <x v="0"/>
    <x v="14"/>
    <x v="2"/>
    <n v="8"/>
    <x v="2"/>
    <n v="9"/>
    <x v="1"/>
    <n v="0"/>
    <x v="2"/>
    <n v="0"/>
    <x v="2"/>
    <n v="5"/>
    <x v="3"/>
  </r>
  <r>
    <x v="6"/>
    <x v="2"/>
    <x v="0"/>
    <x v="23"/>
    <x v="2"/>
    <n v="0"/>
    <x v="2"/>
    <n v="13"/>
    <x v="2"/>
    <n v="8"/>
    <x v="2"/>
    <n v="0"/>
    <x v="2"/>
    <n v="4"/>
    <x v="2"/>
  </r>
  <r>
    <x v="6"/>
    <x v="2"/>
    <x v="0"/>
    <x v="6"/>
    <x v="0"/>
    <n v="11"/>
    <x v="2"/>
    <n v="18"/>
    <x v="0"/>
    <n v="15"/>
    <x v="0"/>
    <n v="21"/>
    <x v="2"/>
    <n v="2"/>
    <x v="0"/>
  </r>
  <r>
    <x v="6"/>
    <x v="2"/>
    <x v="0"/>
    <x v="16"/>
    <x v="0"/>
    <n v="12"/>
    <x v="2"/>
    <n v="17"/>
    <x v="0"/>
    <n v="10"/>
    <x v="2"/>
    <n v="25"/>
    <x v="1"/>
    <n v="2"/>
    <x v="0"/>
  </r>
  <r>
    <x v="6"/>
    <x v="2"/>
    <x v="0"/>
    <x v="2"/>
    <x v="1"/>
    <n v="14"/>
    <x v="2"/>
    <n v="16"/>
    <x v="0"/>
    <n v="20"/>
    <x v="1"/>
    <n v="22"/>
    <x v="1"/>
    <n v="1"/>
    <x v="0"/>
  </r>
  <r>
    <x v="6"/>
    <x v="2"/>
    <x v="0"/>
    <x v="6"/>
    <x v="0"/>
    <n v="15"/>
    <x v="2"/>
    <n v="16"/>
    <x v="0"/>
    <n v="12"/>
    <x v="2"/>
    <n v="24"/>
    <x v="1"/>
    <n v="2"/>
    <x v="0"/>
  </r>
  <r>
    <x v="6"/>
    <x v="2"/>
    <x v="0"/>
    <x v="5"/>
    <x v="0"/>
    <n v="25"/>
    <x v="1"/>
    <n v="12"/>
    <x v="1"/>
    <n v="17"/>
    <x v="0"/>
    <n v="25"/>
    <x v="1"/>
    <n v="1"/>
    <x v="0"/>
  </r>
  <r>
    <x v="6"/>
    <x v="2"/>
    <x v="0"/>
    <x v="8"/>
    <x v="2"/>
    <n v="0"/>
    <x v="2"/>
    <n v="10"/>
    <x v="1"/>
    <n v="11"/>
    <x v="2"/>
    <n v="8"/>
    <x v="2"/>
    <n v="5"/>
    <x v="3"/>
  </r>
  <r>
    <x v="6"/>
    <x v="2"/>
    <x v="0"/>
    <x v="11"/>
    <x v="1"/>
    <n v="20"/>
    <x v="0"/>
    <n v="15"/>
    <x v="0"/>
    <n v="0"/>
    <x v="2"/>
    <n v="26"/>
    <x v="0"/>
    <n v="1"/>
    <x v="0"/>
  </r>
  <r>
    <x v="6"/>
    <x v="2"/>
    <x v="0"/>
    <x v="11"/>
    <x v="1"/>
    <n v="0"/>
    <x v="2"/>
    <n v="13"/>
    <x v="2"/>
    <n v="0"/>
    <x v="2"/>
    <n v="12"/>
    <x v="2"/>
    <n v="3"/>
    <x v="1"/>
  </r>
  <r>
    <x v="6"/>
    <x v="2"/>
    <x v="0"/>
    <x v="2"/>
    <x v="1"/>
    <n v="24"/>
    <x v="1"/>
    <n v="16"/>
    <x v="0"/>
    <n v="0"/>
    <x v="2"/>
    <n v="23"/>
    <x v="1"/>
    <n v="1"/>
    <x v="0"/>
  </r>
  <r>
    <x v="6"/>
    <x v="2"/>
    <x v="0"/>
    <x v="11"/>
    <x v="1"/>
    <n v="0"/>
    <x v="2"/>
    <n v="19"/>
    <x v="0"/>
    <n v="10"/>
    <x v="2"/>
    <n v="12"/>
    <x v="2"/>
    <n v="3"/>
    <x v="1"/>
  </r>
  <r>
    <x v="6"/>
    <x v="2"/>
    <x v="0"/>
    <x v="2"/>
    <x v="1"/>
    <n v="18"/>
    <x v="0"/>
    <n v="14"/>
    <x v="2"/>
    <n v="0"/>
    <x v="2"/>
    <n v="20"/>
    <x v="2"/>
    <n v="2"/>
    <x v="0"/>
  </r>
  <r>
    <x v="6"/>
    <x v="2"/>
    <x v="0"/>
    <x v="3"/>
    <x v="1"/>
    <n v="24"/>
    <x v="1"/>
    <n v="16"/>
    <x v="0"/>
    <n v="17"/>
    <x v="0"/>
    <n v="22"/>
    <x v="1"/>
    <n v="0"/>
    <x v="0"/>
  </r>
  <r>
    <x v="6"/>
    <x v="2"/>
    <x v="0"/>
    <x v="4"/>
    <x v="0"/>
    <n v="18"/>
    <x v="0"/>
    <n v="21"/>
    <x v="0"/>
    <n v="9"/>
    <x v="2"/>
    <n v="26"/>
    <x v="0"/>
    <n v="1"/>
    <x v="0"/>
  </r>
  <r>
    <x v="7"/>
    <x v="2"/>
    <x v="1"/>
    <x v="2"/>
    <x v="1"/>
    <n v="0"/>
    <x v="2"/>
    <n v="12"/>
    <x v="1"/>
    <n v="14"/>
    <x v="0"/>
    <n v="11"/>
    <x v="2"/>
    <n v="3"/>
    <x v="1"/>
  </r>
  <r>
    <x v="7"/>
    <x v="2"/>
    <x v="1"/>
    <x v="2"/>
    <x v="1"/>
    <n v="12"/>
    <x v="2"/>
    <n v="21"/>
    <x v="0"/>
    <n v="15"/>
    <x v="0"/>
    <n v="22"/>
    <x v="1"/>
    <n v="1"/>
    <x v="0"/>
  </r>
  <r>
    <x v="7"/>
    <x v="2"/>
    <x v="1"/>
    <x v="16"/>
    <x v="0"/>
    <n v="20"/>
    <x v="0"/>
    <n v="18"/>
    <x v="0"/>
    <n v="25"/>
    <x v="1"/>
    <n v="17"/>
    <x v="2"/>
    <n v="1"/>
    <x v="0"/>
  </r>
  <r>
    <x v="7"/>
    <x v="2"/>
    <x v="1"/>
    <x v="2"/>
    <x v="1"/>
    <n v="0"/>
    <x v="2"/>
    <n v="9"/>
    <x v="1"/>
    <n v="15"/>
    <x v="0"/>
    <n v="9"/>
    <x v="2"/>
    <n v="3"/>
    <x v="1"/>
  </r>
  <r>
    <x v="7"/>
    <x v="2"/>
    <x v="1"/>
    <x v="16"/>
    <x v="0"/>
    <n v="12"/>
    <x v="2"/>
    <n v="20"/>
    <x v="0"/>
    <n v="25"/>
    <x v="1"/>
    <n v="28"/>
    <x v="0"/>
    <n v="1"/>
    <x v="0"/>
  </r>
  <r>
    <x v="7"/>
    <x v="2"/>
    <x v="1"/>
    <x v="3"/>
    <x v="1"/>
    <n v="10"/>
    <x v="2"/>
    <n v="18"/>
    <x v="0"/>
    <n v="0"/>
    <x v="2"/>
    <n v="19"/>
    <x v="2"/>
    <n v="3"/>
    <x v="1"/>
  </r>
  <r>
    <x v="7"/>
    <x v="2"/>
    <x v="1"/>
    <x v="13"/>
    <x v="2"/>
    <n v="22"/>
    <x v="1"/>
    <n v="19"/>
    <x v="0"/>
    <n v="9"/>
    <x v="2"/>
    <n v="15"/>
    <x v="2"/>
    <n v="3"/>
    <x v="1"/>
  </r>
  <r>
    <x v="7"/>
    <x v="2"/>
    <x v="1"/>
    <x v="11"/>
    <x v="1"/>
    <n v="17"/>
    <x v="2"/>
    <n v="16"/>
    <x v="0"/>
    <n v="20"/>
    <x v="1"/>
    <n v="26"/>
    <x v="0"/>
    <n v="1"/>
    <x v="0"/>
  </r>
  <r>
    <x v="7"/>
    <x v="2"/>
    <x v="1"/>
    <x v="11"/>
    <x v="1"/>
    <n v="0"/>
    <x v="2"/>
    <n v="17"/>
    <x v="0"/>
    <n v="7"/>
    <x v="2"/>
    <n v="20"/>
    <x v="2"/>
    <n v="3"/>
    <x v="1"/>
  </r>
  <r>
    <x v="7"/>
    <x v="2"/>
    <x v="1"/>
    <x v="3"/>
    <x v="1"/>
    <n v="0"/>
    <x v="2"/>
    <n v="17"/>
    <x v="0"/>
    <n v="13"/>
    <x v="2"/>
    <n v="23"/>
    <x v="1"/>
    <n v="2"/>
    <x v="0"/>
  </r>
  <r>
    <x v="7"/>
    <x v="2"/>
    <x v="1"/>
    <x v="2"/>
    <x v="1"/>
    <n v="13"/>
    <x v="2"/>
    <n v="18"/>
    <x v="0"/>
    <n v="0"/>
    <x v="2"/>
    <n v="22"/>
    <x v="1"/>
    <n v="2"/>
    <x v="0"/>
  </r>
  <r>
    <x v="7"/>
    <x v="2"/>
    <x v="1"/>
    <x v="12"/>
    <x v="0"/>
    <n v="12"/>
    <x v="2"/>
    <n v="21"/>
    <x v="0"/>
    <n v="0"/>
    <x v="2"/>
    <n v="22"/>
    <x v="1"/>
    <n v="2"/>
    <x v="0"/>
  </r>
  <r>
    <x v="7"/>
    <x v="2"/>
    <x v="1"/>
    <x v="14"/>
    <x v="2"/>
    <n v="0"/>
    <x v="2"/>
    <n v="8"/>
    <x v="1"/>
    <n v="0"/>
    <x v="2"/>
    <n v="9"/>
    <x v="2"/>
    <n v="5"/>
    <x v="3"/>
  </r>
  <r>
    <x v="7"/>
    <x v="2"/>
    <x v="1"/>
    <x v="11"/>
    <x v="1"/>
    <n v="0"/>
    <x v="2"/>
    <n v="18"/>
    <x v="0"/>
    <n v="12"/>
    <x v="2"/>
    <n v="20"/>
    <x v="2"/>
    <n v="3"/>
    <x v="1"/>
  </r>
  <r>
    <x v="7"/>
    <x v="2"/>
    <x v="1"/>
    <x v="3"/>
    <x v="1"/>
    <n v="0"/>
    <x v="2"/>
    <n v="18"/>
    <x v="0"/>
    <n v="19"/>
    <x v="1"/>
    <n v="25"/>
    <x v="1"/>
    <n v="1"/>
    <x v="0"/>
  </r>
  <r>
    <x v="7"/>
    <x v="2"/>
    <x v="1"/>
    <x v="6"/>
    <x v="0"/>
    <n v="16"/>
    <x v="2"/>
    <n v="14"/>
    <x v="2"/>
    <n v="16"/>
    <x v="0"/>
    <n v="24"/>
    <x v="1"/>
    <n v="1"/>
    <x v="0"/>
  </r>
  <r>
    <x v="7"/>
    <x v="2"/>
    <x v="1"/>
    <x v="4"/>
    <x v="0"/>
    <n v="10"/>
    <x v="2"/>
    <n v="21"/>
    <x v="0"/>
    <n v="18"/>
    <x v="1"/>
    <n v="23"/>
    <x v="1"/>
    <n v="1"/>
    <x v="0"/>
  </r>
  <r>
    <x v="7"/>
    <x v="2"/>
    <x v="1"/>
    <x v="9"/>
    <x v="2"/>
    <n v="0"/>
    <x v="2"/>
    <n v="10"/>
    <x v="1"/>
    <n v="11"/>
    <x v="2"/>
    <n v="9"/>
    <x v="2"/>
    <n v="5"/>
    <x v="3"/>
  </r>
  <r>
    <x v="7"/>
    <x v="2"/>
    <x v="1"/>
    <x v="24"/>
    <x v="0"/>
    <n v="0"/>
    <x v="2"/>
    <n v="22"/>
    <x v="0"/>
    <n v="15"/>
    <x v="0"/>
    <n v="25"/>
    <x v="1"/>
    <n v="1"/>
    <x v="0"/>
  </r>
  <r>
    <x v="7"/>
    <x v="2"/>
    <x v="1"/>
    <x v="25"/>
    <x v="2"/>
    <n v="0"/>
    <x v="2"/>
    <n v="12"/>
    <x v="1"/>
    <n v="13"/>
    <x v="2"/>
    <n v="0"/>
    <x v="2"/>
    <n v="5"/>
    <x v="3"/>
  </r>
  <r>
    <x v="8"/>
    <x v="2"/>
    <x v="2"/>
    <x v="8"/>
    <x v="2"/>
    <n v="17"/>
    <x v="2"/>
    <n v="16"/>
    <x v="0"/>
    <n v="0"/>
    <x v="2"/>
    <n v="22"/>
    <x v="1"/>
    <n v="3"/>
    <x v="1"/>
  </r>
  <r>
    <x v="8"/>
    <x v="2"/>
    <x v="2"/>
    <x v="6"/>
    <x v="0"/>
    <n v="0"/>
    <x v="2"/>
    <n v="9"/>
    <x v="1"/>
    <n v="0"/>
    <x v="2"/>
    <n v="0"/>
    <x v="2"/>
    <n v="4"/>
    <x v="2"/>
  </r>
  <r>
    <x v="8"/>
    <x v="2"/>
    <x v="2"/>
    <x v="6"/>
    <x v="0"/>
    <n v="0"/>
    <x v="2"/>
    <n v="8"/>
    <x v="1"/>
    <n v="0"/>
    <x v="2"/>
    <n v="0"/>
    <x v="2"/>
    <n v="4"/>
    <x v="2"/>
  </r>
  <r>
    <x v="8"/>
    <x v="2"/>
    <x v="2"/>
    <x v="2"/>
    <x v="1"/>
    <n v="0"/>
    <x v="2"/>
    <n v="10"/>
    <x v="1"/>
    <n v="0"/>
    <x v="2"/>
    <n v="11"/>
    <x v="2"/>
    <n v="4"/>
    <x v="2"/>
  </r>
  <r>
    <x v="8"/>
    <x v="2"/>
    <x v="2"/>
    <x v="3"/>
    <x v="1"/>
    <n v="0"/>
    <x v="2"/>
    <n v="22"/>
    <x v="0"/>
    <n v="12"/>
    <x v="2"/>
    <n v="10"/>
    <x v="2"/>
    <n v="3"/>
    <x v="1"/>
  </r>
  <r>
    <x v="8"/>
    <x v="2"/>
    <x v="2"/>
    <x v="16"/>
    <x v="0"/>
    <n v="0"/>
    <x v="2"/>
    <n v="16"/>
    <x v="0"/>
    <n v="0"/>
    <x v="2"/>
    <n v="25"/>
    <x v="1"/>
    <n v="2"/>
    <x v="0"/>
  </r>
  <r>
    <x v="8"/>
    <x v="2"/>
    <x v="2"/>
    <x v="11"/>
    <x v="1"/>
    <n v="0"/>
    <x v="2"/>
    <n v="20"/>
    <x v="0"/>
    <n v="11"/>
    <x v="2"/>
    <n v="25"/>
    <x v="1"/>
    <n v="2"/>
    <x v="0"/>
  </r>
  <r>
    <x v="8"/>
    <x v="2"/>
    <x v="2"/>
    <x v="3"/>
    <x v="1"/>
    <n v="0"/>
    <x v="2"/>
    <n v="21"/>
    <x v="0"/>
    <n v="15"/>
    <x v="0"/>
    <n v="0"/>
    <x v="2"/>
    <n v="2"/>
    <x v="0"/>
  </r>
  <r>
    <x v="8"/>
    <x v="2"/>
    <x v="2"/>
    <x v="6"/>
    <x v="0"/>
    <n v="18"/>
    <x v="0"/>
    <n v="23"/>
    <x v="0"/>
    <n v="23"/>
    <x v="1"/>
    <n v="24"/>
    <x v="1"/>
    <n v="0"/>
    <x v="0"/>
  </r>
  <r>
    <x v="8"/>
    <x v="2"/>
    <x v="2"/>
    <x v="24"/>
    <x v="0"/>
    <n v="12"/>
    <x v="2"/>
    <n v="27"/>
    <x v="0"/>
    <n v="20"/>
    <x v="1"/>
    <n v="28"/>
    <x v="0"/>
    <n v="1"/>
    <x v="0"/>
  </r>
  <r>
    <x v="8"/>
    <x v="2"/>
    <x v="2"/>
    <x v="2"/>
    <x v="1"/>
    <n v="0"/>
    <x v="2"/>
    <n v="19"/>
    <x v="0"/>
    <n v="14"/>
    <x v="0"/>
    <n v="23"/>
    <x v="1"/>
    <n v="1"/>
    <x v="0"/>
  </r>
  <r>
    <x v="8"/>
    <x v="2"/>
    <x v="2"/>
    <x v="12"/>
    <x v="0"/>
    <n v="0"/>
    <x v="2"/>
    <n v="20"/>
    <x v="0"/>
    <n v="12"/>
    <x v="2"/>
    <n v="13"/>
    <x v="2"/>
    <n v="3"/>
    <x v="1"/>
  </r>
  <r>
    <x v="8"/>
    <x v="2"/>
    <x v="2"/>
    <x v="0"/>
    <x v="0"/>
    <n v="0"/>
    <x v="2"/>
    <n v="17"/>
    <x v="0"/>
    <n v="12"/>
    <x v="2"/>
    <n v="21"/>
    <x v="2"/>
    <n v="3"/>
    <x v="1"/>
  </r>
  <r>
    <x v="8"/>
    <x v="2"/>
    <x v="2"/>
    <x v="11"/>
    <x v="1"/>
    <n v="0"/>
    <x v="2"/>
    <n v="15"/>
    <x v="0"/>
    <n v="11"/>
    <x v="2"/>
    <n v="12"/>
    <x v="2"/>
    <n v="3"/>
    <x v="1"/>
  </r>
  <r>
    <x v="8"/>
    <x v="2"/>
    <x v="2"/>
    <x v="1"/>
    <x v="0"/>
    <n v="0"/>
    <x v="2"/>
    <n v="22"/>
    <x v="0"/>
    <n v="13"/>
    <x v="2"/>
    <n v="26"/>
    <x v="0"/>
    <n v="2"/>
    <x v="0"/>
  </r>
  <r>
    <x v="8"/>
    <x v="2"/>
    <x v="2"/>
    <x v="22"/>
    <x v="0"/>
    <n v="0"/>
    <x v="2"/>
    <n v="19"/>
    <x v="0"/>
    <n v="0"/>
    <x v="2"/>
    <n v="17"/>
    <x v="2"/>
    <n v="3"/>
    <x v="1"/>
  </r>
  <r>
    <x v="8"/>
    <x v="2"/>
    <x v="2"/>
    <x v="2"/>
    <x v="1"/>
    <n v="0"/>
    <x v="2"/>
    <n v="19"/>
    <x v="0"/>
    <n v="11"/>
    <x v="2"/>
    <n v="22"/>
    <x v="1"/>
    <n v="2"/>
    <x v="0"/>
  </r>
  <r>
    <x v="8"/>
    <x v="2"/>
    <x v="2"/>
    <x v="0"/>
    <x v="0"/>
    <n v="0"/>
    <x v="2"/>
    <n v="20"/>
    <x v="0"/>
    <n v="7"/>
    <x v="2"/>
    <n v="12"/>
    <x v="2"/>
    <n v="3"/>
    <x v="1"/>
  </r>
  <r>
    <x v="8"/>
    <x v="2"/>
    <x v="2"/>
    <x v="1"/>
    <x v="0"/>
    <n v="0"/>
    <x v="2"/>
    <n v="7"/>
    <x v="1"/>
    <n v="0"/>
    <x v="2"/>
    <n v="10"/>
    <x v="2"/>
    <n v="4"/>
    <x v="2"/>
  </r>
  <r>
    <x v="8"/>
    <x v="2"/>
    <x v="2"/>
    <x v="2"/>
    <x v="1"/>
    <n v="0"/>
    <x v="2"/>
    <n v="21"/>
    <x v="0"/>
    <n v="13"/>
    <x v="2"/>
    <n v="11"/>
    <x v="2"/>
    <n v="3"/>
    <x v="1"/>
  </r>
  <r>
    <x v="8"/>
    <x v="2"/>
    <x v="2"/>
    <x v="3"/>
    <x v="1"/>
    <n v="0"/>
    <x v="2"/>
    <n v="21"/>
    <x v="0"/>
    <n v="12"/>
    <x v="2"/>
    <n v="23"/>
    <x v="1"/>
    <n v="2"/>
    <x v="0"/>
  </r>
  <r>
    <x v="8"/>
    <x v="2"/>
    <x v="2"/>
    <x v="11"/>
    <x v="1"/>
    <n v="0"/>
    <x v="2"/>
    <n v="9"/>
    <x v="1"/>
    <n v="14"/>
    <x v="0"/>
    <n v="0"/>
    <x v="2"/>
    <n v="3"/>
    <x v="1"/>
  </r>
  <r>
    <x v="9"/>
    <x v="3"/>
    <x v="0"/>
    <x v="2"/>
    <x v="1"/>
    <n v="21"/>
    <x v="1"/>
    <n v="18"/>
    <x v="0"/>
    <n v="11"/>
    <x v="2"/>
    <n v="22"/>
    <x v="1"/>
    <n v="1"/>
    <x v="0"/>
  </r>
  <r>
    <x v="9"/>
    <x v="3"/>
    <x v="0"/>
    <x v="9"/>
    <x v="2"/>
    <n v="20"/>
    <x v="0"/>
    <n v="27"/>
    <x v="0"/>
    <n v="19"/>
    <x v="1"/>
    <n v="16"/>
    <x v="2"/>
    <n v="2"/>
    <x v="0"/>
  </r>
  <r>
    <x v="9"/>
    <x v="3"/>
    <x v="0"/>
    <x v="21"/>
    <x v="0"/>
    <n v="10"/>
    <x v="2"/>
    <n v="23"/>
    <x v="0"/>
    <n v="20"/>
    <x v="1"/>
    <n v="20"/>
    <x v="2"/>
    <n v="2"/>
    <x v="0"/>
  </r>
  <r>
    <x v="9"/>
    <x v="3"/>
    <x v="0"/>
    <x v="26"/>
    <x v="0"/>
    <n v="9"/>
    <x v="2"/>
    <n v="16"/>
    <x v="0"/>
    <n v="11"/>
    <x v="2"/>
    <n v="20"/>
    <x v="2"/>
    <n v="3"/>
    <x v="1"/>
  </r>
  <r>
    <x v="9"/>
    <x v="3"/>
    <x v="0"/>
    <x v="1"/>
    <x v="0"/>
    <n v="20"/>
    <x v="0"/>
    <n v="28"/>
    <x v="0"/>
    <n v="35"/>
    <x v="1"/>
    <n v="15"/>
    <x v="2"/>
    <n v="1"/>
    <x v="0"/>
  </r>
  <r>
    <x v="9"/>
    <x v="3"/>
    <x v="0"/>
    <x v="7"/>
    <x v="0"/>
    <n v="9"/>
    <x v="2"/>
    <n v="16"/>
    <x v="0"/>
    <n v="10"/>
    <x v="2"/>
    <n v="13"/>
    <x v="2"/>
    <n v="3"/>
    <x v="1"/>
  </r>
  <r>
    <x v="9"/>
    <x v="3"/>
    <x v="0"/>
    <x v="0"/>
    <x v="0"/>
    <n v="0"/>
    <x v="2"/>
    <n v="22"/>
    <x v="0"/>
    <n v="18"/>
    <x v="1"/>
    <n v="18"/>
    <x v="2"/>
    <n v="2"/>
    <x v="0"/>
  </r>
  <r>
    <x v="9"/>
    <x v="3"/>
    <x v="0"/>
    <x v="16"/>
    <x v="0"/>
    <n v="0"/>
    <x v="2"/>
    <n v="20"/>
    <x v="0"/>
    <n v="15"/>
    <x v="0"/>
    <n v="23"/>
    <x v="1"/>
    <n v="1"/>
    <x v="0"/>
  </r>
  <r>
    <x v="9"/>
    <x v="3"/>
    <x v="0"/>
    <x v="3"/>
    <x v="1"/>
    <n v="7"/>
    <x v="2"/>
    <n v="17"/>
    <x v="0"/>
    <n v="12"/>
    <x v="2"/>
    <n v="18"/>
    <x v="2"/>
    <n v="3"/>
    <x v="1"/>
  </r>
  <r>
    <x v="9"/>
    <x v="3"/>
    <x v="0"/>
    <x v="6"/>
    <x v="0"/>
    <n v="0"/>
    <x v="2"/>
    <n v="16"/>
    <x v="0"/>
    <n v="15"/>
    <x v="0"/>
    <n v="24"/>
    <x v="1"/>
    <n v="1"/>
    <x v="0"/>
  </r>
  <r>
    <x v="9"/>
    <x v="3"/>
    <x v="0"/>
    <x v="24"/>
    <x v="0"/>
    <n v="7"/>
    <x v="2"/>
    <n v="17"/>
    <x v="0"/>
    <n v="11"/>
    <x v="2"/>
    <n v="13"/>
    <x v="2"/>
    <n v="3"/>
    <x v="1"/>
  </r>
  <r>
    <x v="9"/>
    <x v="3"/>
    <x v="0"/>
    <x v="24"/>
    <x v="0"/>
    <n v="21"/>
    <x v="1"/>
    <n v="19"/>
    <x v="0"/>
    <n v="21"/>
    <x v="1"/>
    <n v="25"/>
    <x v="1"/>
    <n v="0"/>
    <x v="0"/>
  </r>
  <r>
    <x v="9"/>
    <x v="3"/>
    <x v="0"/>
    <x v="1"/>
    <x v="0"/>
    <n v="20"/>
    <x v="0"/>
    <n v="18"/>
    <x v="0"/>
    <n v="19"/>
    <x v="1"/>
    <n v="26"/>
    <x v="0"/>
    <n v="0"/>
    <x v="0"/>
  </r>
  <r>
    <x v="9"/>
    <x v="3"/>
    <x v="0"/>
    <x v="21"/>
    <x v="0"/>
    <n v="12"/>
    <x v="2"/>
    <n v="21"/>
    <x v="0"/>
    <n v="20"/>
    <x v="1"/>
    <n v="19"/>
    <x v="2"/>
    <n v="2"/>
    <x v="0"/>
  </r>
  <r>
    <x v="9"/>
    <x v="3"/>
    <x v="0"/>
    <x v="10"/>
    <x v="0"/>
    <n v="25"/>
    <x v="1"/>
    <n v="24"/>
    <x v="0"/>
    <n v="31"/>
    <x v="1"/>
    <n v="30"/>
    <x v="0"/>
    <n v="0"/>
    <x v="0"/>
  </r>
  <r>
    <x v="9"/>
    <x v="3"/>
    <x v="0"/>
    <x v="27"/>
    <x v="0"/>
    <n v="15"/>
    <x v="2"/>
    <n v="20"/>
    <x v="0"/>
    <n v="18"/>
    <x v="1"/>
    <n v="22"/>
    <x v="1"/>
    <n v="1"/>
    <x v="0"/>
  </r>
  <r>
    <x v="9"/>
    <x v="3"/>
    <x v="0"/>
    <x v="1"/>
    <x v="0"/>
    <n v="19"/>
    <x v="0"/>
    <n v="20"/>
    <x v="0"/>
    <n v="18"/>
    <x v="1"/>
    <n v="22"/>
    <x v="1"/>
    <n v="0"/>
    <x v="0"/>
  </r>
  <r>
    <x v="9"/>
    <x v="3"/>
    <x v="0"/>
    <x v="10"/>
    <x v="0"/>
    <n v="10"/>
    <x v="2"/>
    <n v="12"/>
    <x v="1"/>
    <n v="9"/>
    <x v="2"/>
    <n v="13"/>
    <x v="2"/>
    <n v="4"/>
    <x v="2"/>
  </r>
  <r>
    <x v="9"/>
    <x v="3"/>
    <x v="0"/>
    <x v="1"/>
    <x v="0"/>
    <n v="17"/>
    <x v="2"/>
    <n v="20"/>
    <x v="0"/>
    <n v="25"/>
    <x v="1"/>
    <n v="24"/>
    <x v="1"/>
    <n v="1"/>
    <x v="0"/>
  </r>
  <r>
    <x v="9"/>
    <x v="3"/>
    <x v="0"/>
    <x v="26"/>
    <x v="0"/>
    <n v="17"/>
    <x v="2"/>
    <n v="20"/>
    <x v="0"/>
    <n v="9"/>
    <x v="2"/>
    <n v="23"/>
    <x v="1"/>
    <n v="2"/>
    <x v="0"/>
  </r>
  <r>
    <x v="9"/>
    <x v="3"/>
    <x v="0"/>
    <x v="0"/>
    <x v="0"/>
    <n v="0"/>
    <x v="2"/>
    <n v="18"/>
    <x v="0"/>
    <n v="15"/>
    <x v="0"/>
    <n v="24"/>
    <x v="1"/>
    <n v="1"/>
    <x v="0"/>
  </r>
  <r>
    <x v="10"/>
    <x v="3"/>
    <x v="1"/>
    <x v="4"/>
    <x v="0"/>
    <n v="0"/>
    <x v="2"/>
    <n v="0"/>
    <x v="1"/>
    <n v="10"/>
    <x v="2"/>
    <n v="20"/>
    <x v="2"/>
    <n v="4"/>
    <x v="2"/>
  </r>
  <r>
    <x v="10"/>
    <x v="3"/>
    <x v="1"/>
    <x v="0"/>
    <x v="0"/>
    <n v="20"/>
    <x v="0"/>
    <n v="0"/>
    <x v="1"/>
    <n v="10"/>
    <x v="2"/>
    <n v="20"/>
    <x v="2"/>
    <n v="3"/>
    <x v="1"/>
  </r>
  <r>
    <x v="10"/>
    <x v="3"/>
    <x v="1"/>
    <x v="22"/>
    <x v="0"/>
    <n v="0"/>
    <x v="2"/>
    <n v="15"/>
    <x v="0"/>
    <n v="10"/>
    <x v="2"/>
    <n v="20"/>
    <x v="2"/>
    <n v="3"/>
    <x v="1"/>
  </r>
  <r>
    <x v="10"/>
    <x v="3"/>
    <x v="1"/>
    <x v="6"/>
    <x v="0"/>
    <n v="18"/>
    <x v="0"/>
    <n v="20"/>
    <x v="0"/>
    <n v="0"/>
    <x v="2"/>
    <n v="25"/>
    <x v="1"/>
    <n v="1"/>
    <x v="0"/>
  </r>
  <r>
    <x v="10"/>
    <x v="3"/>
    <x v="1"/>
    <x v="4"/>
    <x v="0"/>
    <n v="20"/>
    <x v="0"/>
    <n v="7"/>
    <x v="1"/>
    <n v="10"/>
    <x v="2"/>
    <n v="0"/>
    <x v="2"/>
    <n v="3"/>
    <x v="1"/>
  </r>
  <r>
    <x v="10"/>
    <x v="3"/>
    <x v="1"/>
    <x v="0"/>
    <x v="0"/>
    <n v="0"/>
    <x v="2"/>
    <n v="15"/>
    <x v="0"/>
    <n v="10"/>
    <x v="2"/>
    <n v="20"/>
    <x v="2"/>
    <n v="3"/>
    <x v="1"/>
  </r>
  <r>
    <x v="10"/>
    <x v="3"/>
    <x v="1"/>
    <x v="0"/>
    <x v="0"/>
    <n v="0"/>
    <x v="2"/>
    <n v="20"/>
    <x v="0"/>
    <n v="15"/>
    <x v="0"/>
    <n v="20"/>
    <x v="2"/>
    <n v="2"/>
    <x v="0"/>
  </r>
  <r>
    <x v="10"/>
    <x v="3"/>
    <x v="1"/>
    <x v="0"/>
    <x v="0"/>
    <n v="0"/>
    <x v="2"/>
    <n v="20"/>
    <x v="0"/>
    <n v="10"/>
    <x v="2"/>
    <n v="0"/>
    <x v="2"/>
    <n v="3"/>
    <x v="1"/>
  </r>
  <r>
    <x v="10"/>
    <x v="3"/>
    <x v="1"/>
    <x v="0"/>
    <x v="0"/>
    <n v="12"/>
    <x v="2"/>
    <n v="9"/>
    <x v="1"/>
    <n v="0"/>
    <x v="2"/>
    <n v="0"/>
    <x v="2"/>
    <n v="4"/>
    <x v="2"/>
  </r>
  <r>
    <x v="10"/>
    <x v="3"/>
    <x v="1"/>
    <x v="0"/>
    <x v="0"/>
    <n v="20"/>
    <x v="0"/>
    <n v="15"/>
    <x v="0"/>
    <n v="7"/>
    <x v="2"/>
    <n v="20"/>
    <x v="2"/>
    <n v="2"/>
    <x v="0"/>
  </r>
  <r>
    <x v="10"/>
    <x v="3"/>
    <x v="1"/>
    <x v="0"/>
    <x v="0"/>
    <n v="0"/>
    <x v="2"/>
    <n v="20"/>
    <x v="0"/>
    <n v="20"/>
    <x v="1"/>
    <n v="20"/>
    <x v="2"/>
    <n v="2"/>
    <x v="0"/>
  </r>
  <r>
    <x v="10"/>
    <x v="3"/>
    <x v="1"/>
    <x v="2"/>
    <x v="1"/>
    <n v="0"/>
    <x v="2"/>
    <n v="25"/>
    <x v="0"/>
    <n v="15"/>
    <x v="0"/>
    <n v="22"/>
    <x v="1"/>
    <n v="1"/>
    <x v="0"/>
  </r>
  <r>
    <x v="10"/>
    <x v="3"/>
    <x v="1"/>
    <x v="1"/>
    <x v="0"/>
    <n v="0"/>
    <x v="2"/>
    <n v="20"/>
    <x v="0"/>
    <n v="12"/>
    <x v="2"/>
    <n v="22"/>
    <x v="1"/>
    <n v="2"/>
    <x v="0"/>
  </r>
  <r>
    <x v="10"/>
    <x v="3"/>
    <x v="1"/>
    <x v="0"/>
    <x v="0"/>
    <n v="25"/>
    <x v="1"/>
    <n v="30"/>
    <x v="0"/>
    <n v="10"/>
    <x v="2"/>
    <n v="25"/>
    <x v="1"/>
    <n v="1"/>
    <x v="0"/>
  </r>
  <r>
    <x v="10"/>
    <x v="3"/>
    <x v="1"/>
    <x v="0"/>
    <x v="0"/>
    <n v="0"/>
    <x v="2"/>
    <n v="0"/>
    <x v="1"/>
    <n v="15"/>
    <x v="0"/>
    <n v="10"/>
    <x v="2"/>
    <n v="3"/>
    <x v="1"/>
  </r>
  <r>
    <x v="10"/>
    <x v="3"/>
    <x v="1"/>
    <x v="1"/>
    <x v="0"/>
    <n v="0"/>
    <x v="2"/>
    <n v="17"/>
    <x v="0"/>
    <n v="12"/>
    <x v="2"/>
    <n v="28"/>
    <x v="0"/>
    <n v="2"/>
    <x v="0"/>
  </r>
  <r>
    <x v="10"/>
    <x v="3"/>
    <x v="1"/>
    <x v="7"/>
    <x v="0"/>
    <n v="19"/>
    <x v="0"/>
    <n v="25"/>
    <x v="0"/>
    <n v="27"/>
    <x v="1"/>
    <n v="25"/>
    <x v="1"/>
    <n v="0"/>
    <x v="0"/>
  </r>
  <r>
    <x v="10"/>
    <x v="3"/>
    <x v="1"/>
    <x v="22"/>
    <x v="0"/>
    <n v="9"/>
    <x v="2"/>
    <n v="25"/>
    <x v="0"/>
    <n v="10"/>
    <x v="2"/>
    <n v="25"/>
    <x v="1"/>
    <n v="2"/>
    <x v="0"/>
  </r>
  <r>
    <x v="10"/>
    <x v="3"/>
    <x v="1"/>
    <x v="16"/>
    <x v="0"/>
    <n v="0"/>
    <x v="2"/>
    <n v="20"/>
    <x v="0"/>
    <n v="15"/>
    <x v="0"/>
    <n v="23"/>
    <x v="1"/>
    <n v="1"/>
    <x v="0"/>
  </r>
  <r>
    <x v="10"/>
    <x v="3"/>
    <x v="1"/>
    <x v="2"/>
    <x v="1"/>
    <n v="20"/>
    <x v="0"/>
    <n v="18"/>
    <x v="0"/>
    <n v="0"/>
    <x v="2"/>
    <n v="25"/>
    <x v="1"/>
    <n v="1"/>
    <x v="0"/>
  </r>
  <r>
    <x v="10"/>
    <x v="3"/>
    <x v="1"/>
    <x v="2"/>
    <x v="1"/>
    <n v="20"/>
    <x v="0"/>
    <n v="20"/>
    <x v="0"/>
    <n v="0"/>
    <x v="2"/>
    <n v="28"/>
    <x v="0"/>
    <n v="1"/>
    <x v="0"/>
  </r>
  <r>
    <x v="11"/>
    <x v="3"/>
    <x v="2"/>
    <x v="2"/>
    <x v="1"/>
    <n v="0"/>
    <x v="2"/>
    <n v="18"/>
    <x v="0"/>
    <n v="7"/>
    <x v="2"/>
    <n v="28"/>
    <x v="0"/>
    <n v="2"/>
    <x v="0"/>
  </r>
  <r>
    <x v="11"/>
    <x v="3"/>
    <x v="2"/>
    <x v="5"/>
    <x v="0"/>
    <n v="0"/>
    <x v="2"/>
    <n v="20"/>
    <x v="0"/>
    <n v="7"/>
    <x v="2"/>
    <n v="23"/>
    <x v="1"/>
    <n v="2"/>
    <x v="0"/>
  </r>
  <r>
    <x v="11"/>
    <x v="3"/>
    <x v="2"/>
    <x v="22"/>
    <x v="0"/>
    <n v="7"/>
    <x v="2"/>
    <n v="19"/>
    <x v="0"/>
    <n v="11"/>
    <x v="2"/>
    <n v="20"/>
    <x v="2"/>
    <n v="3"/>
    <x v="1"/>
  </r>
  <r>
    <x v="11"/>
    <x v="3"/>
    <x v="2"/>
    <x v="24"/>
    <x v="0"/>
    <n v="0"/>
    <x v="2"/>
    <n v="23"/>
    <x v="0"/>
    <n v="13"/>
    <x v="2"/>
    <n v="23"/>
    <x v="1"/>
    <n v="2"/>
    <x v="0"/>
  </r>
  <r>
    <x v="11"/>
    <x v="3"/>
    <x v="2"/>
    <x v="5"/>
    <x v="0"/>
    <n v="7"/>
    <x v="2"/>
    <n v="19"/>
    <x v="0"/>
    <n v="10"/>
    <x v="2"/>
    <n v="0"/>
    <x v="2"/>
    <n v="3"/>
    <x v="1"/>
  </r>
  <r>
    <x v="11"/>
    <x v="3"/>
    <x v="2"/>
    <x v="7"/>
    <x v="0"/>
    <n v="0"/>
    <x v="2"/>
    <n v="13"/>
    <x v="2"/>
    <n v="12"/>
    <x v="2"/>
    <n v="20"/>
    <x v="2"/>
    <n v="3"/>
    <x v="1"/>
  </r>
  <r>
    <x v="11"/>
    <x v="3"/>
    <x v="2"/>
    <x v="2"/>
    <x v="1"/>
    <n v="25"/>
    <x v="1"/>
    <n v="18"/>
    <x v="0"/>
    <n v="0"/>
    <x v="2"/>
    <n v="23"/>
    <x v="1"/>
    <n v="1"/>
    <x v="0"/>
  </r>
  <r>
    <x v="11"/>
    <x v="3"/>
    <x v="2"/>
    <x v="8"/>
    <x v="2"/>
    <n v="0"/>
    <x v="2"/>
    <n v="17"/>
    <x v="0"/>
    <n v="11"/>
    <x v="2"/>
    <n v="25"/>
    <x v="1"/>
    <n v="3"/>
    <x v="1"/>
  </r>
  <r>
    <x v="11"/>
    <x v="3"/>
    <x v="2"/>
    <x v="14"/>
    <x v="2"/>
    <n v="0"/>
    <x v="2"/>
    <n v="17"/>
    <x v="0"/>
    <n v="15"/>
    <x v="0"/>
    <n v="20"/>
    <x v="2"/>
    <n v="3"/>
    <x v="1"/>
  </r>
  <r>
    <x v="11"/>
    <x v="3"/>
    <x v="2"/>
    <x v="2"/>
    <x v="1"/>
    <n v="19"/>
    <x v="0"/>
    <n v="15"/>
    <x v="0"/>
    <n v="15"/>
    <x v="0"/>
    <n v="22"/>
    <x v="1"/>
    <n v="0"/>
    <x v="0"/>
  </r>
  <r>
    <x v="11"/>
    <x v="3"/>
    <x v="2"/>
    <x v="2"/>
    <x v="1"/>
    <n v="10"/>
    <x v="2"/>
    <n v="20"/>
    <x v="0"/>
    <n v="17"/>
    <x v="0"/>
    <n v="30"/>
    <x v="0"/>
    <n v="1"/>
    <x v="0"/>
  </r>
  <r>
    <x v="11"/>
    <x v="3"/>
    <x v="2"/>
    <x v="1"/>
    <x v="0"/>
    <n v="0"/>
    <x v="2"/>
    <n v="15"/>
    <x v="0"/>
    <n v="15"/>
    <x v="0"/>
    <n v="13"/>
    <x v="2"/>
    <n v="2"/>
    <x v="0"/>
  </r>
  <r>
    <x v="11"/>
    <x v="3"/>
    <x v="2"/>
    <x v="2"/>
    <x v="1"/>
    <n v="25"/>
    <x v="1"/>
    <n v="15"/>
    <x v="0"/>
    <n v="12"/>
    <x v="2"/>
    <n v="25"/>
    <x v="1"/>
    <n v="1"/>
    <x v="0"/>
  </r>
  <r>
    <x v="11"/>
    <x v="3"/>
    <x v="2"/>
    <x v="27"/>
    <x v="0"/>
    <n v="0"/>
    <x v="2"/>
    <n v="20"/>
    <x v="0"/>
    <n v="15"/>
    <x v="0"/>
    <n v="20"/>
    <x v="2"/>
    <n v="2"/>
    <x v="0"/>
  </r>
  <r>
    <x v="11"/>
    <x v="3"/>
    <x v="2"/>
    <x v="0"/>
    <x v="0"/>
    <n v="0"/>
    <x v="2"/>
    <n v="20"/>
    <x v="0"/>
    <n v="15"/>
    <x v="0"/>
    <n v="19"/>
    <x v="2"/>
    <n v="2"/>
    <x v="0"/>
  </r>
  <r>
    <x v="11"/>
    <x v="3"/>
    <x v="2"/>
    <x v="0"/>
    <x v="0"/>
    <n v="7"/>
    <x v="2"/>
    <n v="18"/>
    <x v="0"/>
    <n v="15"/>
    <x v="0"/>
    <n v="27"/>
    <x v="0"/>
    <n v="1"/>
    <x v="0"/>
  </r>
  <r>
    <x v="11"/>
    <x v="3"/>
    <x v="2"/>
    <x v="24"/>
    <x v="0"/>
    <n v="0"/>
    <x v="2"/>
    <n v="0"/>
    <x v="1"/>
    <n v="12"/>
    <x v="2"/>
    <n v="25"/>
    <x v="1"/>
    <n v="3"/>
    <x v="1"/>
  </r>
  <r>
    <x v="11"/>
    <x v="3"/>
    <x v="2"/>
    <x v="1"/>
    <x v="0"/>
    <n v="0"/>
    <x v="2"/>
    <n v="20"/>
    <x v="0"/>
    <n v="12"/>
    <x v="2"/>
    <n v="23"/>
    <x v="1"/>
    <n v="2"/>
    <x v="0"/>
  </r>
  <r>
    <x v="11"/>
    <x v="3"/>
    <x v="2"/>
    <x v="16"/>
    <x v="0"/>
    <n v="30"/>
    <x v="1"/>
    <n v="20"/>
    <x v="0"/>
    <n v="12"/>
    <x v="2"/>
    <n v="35"/>
    <x v="0"/>
    <n v="1"/>
    <x v="0"/>
  </r>
  <r>
    <x v="11"/>
    <x v="3"/>
    <x v="2"/>
    <x v="11"/>
    <x v="1"/>
    <n v="0"/>
    <x v="2"/>
    <n v="18"/>
    <x v="0"/>
    <n v="12"/>
    <x v="2"/>
    <n v="20"/>
    <x v="2"/>
    <n v="3"/>
    <x v="1"/>
  </r>
  <r>
    <x v="11"/>
    <x v="3"/>
    <x v="2"/>
    <x v="6"/>
    <x v="0"/>
    <n v="0"/>
    <x v="2"/>
    <n v="22"/>
    <x v="0"/>
    <n v="11"/>
    <x v="2"/>
    <n v="23"/>
    <x v="1"/>
    <n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Imipenem"/>
    <x v="0"/>
    <n v="73"/>
    <n v="38"/>
    <n v="0.52054794520547942"/>
    <n v="23"/>
    <n v="0.31506849315068491"/>
    <n v="12"/>
    <n v="0.16438356164383561"/>
  </r>
  <r>
    <s v="Imipenem"/>
    <x v="1"/>
    <n v="69"/>
    <n v="24"/>
    <n v="0.34782608695652173"/>
    <n v="31"/>
    <n v="0.44927536231884058"/>
    <n v="14"/>
    <n v="0.20289855072463769"/>
  </r>
  <r>
    <s v="Imipenem"/>
    <x v="2"/>
    <n v="69"/>
    <n v="47"/>
    <n v="0.6811594202898551"/>
    <n v="17"/>
    <n v="0.24637681159420291"/>
    <n v="5"/>
    <n v="7.2463768115942032E-2"/>
  </r>
  <r>
    <s v="Imipenem"/>
    <x v="3"/>
    <n v="63"/>
    <n v="49"/>
    <n v="0.77777777777777779"/>
    <n v="11"/>
    <n v="0.17460317460317459"/>
    <n v="3"/>
    <n v="4.7619047619047616E-2"/>
  </r>
  <r>
    <s v="Ceftazidime"/>
    <x v="0"/>
    <n v="73"/>
    <n v="12"/>
    <n v="0.16438356164383561"/>
    <n v="11"/>
    <n v="0.15068493150684931"/>
    <n v="50"/>
    <n v="0.68493150684931503"/>
  </r>
  <r>
    <s v="Ceftazidime"/>
    <x v="1"/>
    <n v="69"/>
    <n v="5"/>
    <n v="7.2463768115942032E-2"/>
    <n v="6"/>
    <n v="8.6956521739130432E-2"/>
    <n v="58"/>
    <n v="0.84057971014492749"/>
  </r>
  <r>
    <s v="Ceftazidime"/>
    <x v="2"/>
    <n v="69"/>
    <n v="6"/>
    <n v="8.6956521739130432E-2"/>
    <n v="4"/>
    <n v="5.7971014492753624E-2"/>
    <n v="59"/>
    <n v="0.85507246376811596"/>
  </r>
  <r>
    <s v="Ceftazidime"/>
    <x v="3"/>
    <n v="63"/>
    <n v="7"/>
    <n v="0.1111111111111111"/>
    <n v="12"/>
    <n v="0.19047619047619047"/>
    <n v="44"/>
    <n v="0.69841269841269837"/>
  </r>
  <r>
    <s v="Gentamicin"/>
    <x v="0"/>
    <n v="73"/>
    <n v="59"/>
    <n v="0.80821917808219179"/>
    <n v="1"/>
    <n v="1.3698630136986301E-2"/>
    <n v="13"/>
    <n v="0.17808219178082191"/>
  </r>
  <r>
    <s v="Gentamicin"/>
    <x v="1"/>
    <n v="69"/>
    <n v="44"/>
    <n v="0.6376811594202898"/>
    <n v="7"/>
    <n v="0.10144927536231885"/>
    <n v="18"/>
    <n v="0.2608695652173913"/>
  </r>
  <r>
    <s v="Gentamicin"/>
    <x v="2"/>
    <n v="69"/>
    <n v="59"/>
    <n v="0.85507246376811596"/>
    <n v="2"/>
    <n v="2.8985507246376812E-2"/>
    <n v="8"/>
    <n v="0.11594202898550725"/>
  </r>
  <r>
    <s v="Gentamicin"/>
    <x v="3"/>
    <n v="63"/>
    <n v="55"/>
    <n v="0.87301587301587302"/>
    <n v="1"/>
    <n v="1.5873015873015872E-2"/>
    <n v="7"/>
    <n v="0.1111111111111111"/>
  </r>
  <r>
    <s v="Augmentin"/>
    <x v="0"/>
    <n v="73"/>
    <n v="30"/>
    <n v="0.41095890410958902"/>
    <n v="14"/>
    <n v="0.19178082191780821"/>
    <n v="29"/>
    <n v="0.39726027397260272"/>
  </r>
  <r>
    <s v="Augmentin"/>
    <x v="1"/>
    <n v="69"/>
    <n v="10"/>
    <n v="0.14492753623188406"/>
    <n v="13"/>
    <n v="0.18840579710144928"/>
    <n v="46"/>
    <n v="0.66666666666666663"/>
  </r>
  <r>
    <s v="Augmentin"/>
    <x v="2"/>
    <n v="69"/>
    <n v="10"/>
    <n v="0.14492753623188406"/>
    <n v="9"/>
    <n v="0.13043478260869565"/>
    <n v="50"/>
    <n v="0.72463768115942029"/>
  </r>
  <r>
    <s v="Augmentin"/>
    <x v="3"/>
    <n v="63"/>
    <n v="13"/>
    <n v="0.20634920634920634"/>
    <n v="14"/>
    <n v="0.22222222222222221"/>
    <n v="36"/>
    <n v="0.5714285714285714"/>
  </r>
  <r>
    <s v="Ciprofloxacin"/>
    <x v="0"/>
    <n v="73"/>
    <n v="10"/>
    <n v="0.13698630136986301"/>
    <n v="35"/>
    <n v="0.47945205479452052"/>
    <n v="28"/>
    <n v="0.38356164383561642"/>
  </r>
  <r>
    <s v="Ciprofloxacin"/>
    <x v="1"/>
    <n v="69"/>
    <n v="6"/>
    <n v="8.6956521739130432E-2"/>
    <n v="24"/>
    <n v="0.34782608695652173"/>
    <n v="39"/>
    <n v="0.56521739130434778"/>
  </r>
  <r>
    <s v="Ciprofloxacin"/>
    <x v="2"/>
    <n v="69"/>
    <n v="5"/>
    <n v="7.2463768115942032E-2"/>
    <n v="20"/>
    <n v="0.28985507246376813"/>
    <n v="44"/>
    <n v="0.6376811594202898"/>
  </r>
  <r>
    <s v="Ciprofloxacin"/>
    <x v="3"/>
    <n v="63"/>
    <n v="8"/>
    <n v="0.12698412698412698"/>
    <n v="26"/>
    <n v="0.41269841269841268"/>
    <n v="29"/>
    <n v="0.460317460317460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09BB6-7687-4C22-9FC1-2C387C45415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3:O20" firstHeaderRow="1" firstDataRow="1" firstDataCol="0"/>
  <pivotFields count="9"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numFmtId="10" showAll="0"/>
    <pivotField showAll="0"/>
    <pivotField numFmtId="10" showAll="0"/>
    <pivotField showAll="0"/>
    <pivotField numFmtId="1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1E386-4A2C-4B1E-93DB-901C09733E21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E33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GENTAMICI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13229-7EE3-478B-8F28-3E5C111E1985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K17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CEFTAZIDI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46D3C-7172-4F85-B6F0-7E9744E2A8C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7" firstHeaderRow="1" firstDataRow="2" firstDataCol="1"/>
  <pivotFields count="11">
    <pivotField axis="axisRow" multipleItemSelectionAllowed="1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dataField="1"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MIPENE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08019-E1EA-456A-889C-7F9B15BF977B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3:Q17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CIPROFLOXACIN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D995C-12A1-4CD1-A824-F50916C78C7C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9:K33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AUGMENTIN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AD9F4-5573-456C-8999-15068420903F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4:E42" firstHeaderRow="1" firstDataRow="2" firstDataCol="1"/>
  <pivotFields count="15">
    <pivotField showAll="0">
      <items count="13">
        <item x="10"/>
        <item x="11"/>
        <item x="9"/>
        <item x="1"/>
        <item x="2"/>
        <item x="0"/>
        <item x="7"/>
        <item x="8"/>
        <item x="6"/>
        <item x="4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29">
        <item x="23"/>
        <item x="18"/>
        <item x="25"/>
        <item x="15"/>
        <item x="9"/>
        <item x="14"/>
        <item x="8"/>
        <item x="13"/>
        <item x="2"/>
        <item x="11"/>
        <item x="3"/>
        <item x="16"/>
        <item x="6"/>
        <item x="0"/>
        <item x="12"/>
        <item x="5"/>
        <item x="4"/>
        <item x="19"/>
        <item x="1"/>
        <item x="26"/>
        <item x="22"/>
        <item x="24"/>
        <item x="27"/>
        <item x="7"/>
        <item x="21"/>
        <item x="10"/>
        <item x="20"/>
        <item x="17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Col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Gentamicin 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4447E-D9E5-47B9-B1CE-B20547674B58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21" firstHeaderRow="1" firstDataRow="2" firstDataCol="1"/>
  <pivotFields count="15">
    <pivotField showAll="0">
      <items count="13">
        <item x="10"/>
        <item x="11"/>
        <item x="9"/>
        <item x="1"/>
        <item x="2"/>
        <item x="0"/>
        <item x="7"/>
        <item x="8"/>
        <item x="6"/>
        <item x="4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29">
        <item x="23"/>
        <item x="18"/>
        <item x="25"/>
        <item x="15"/>
        <item x="9"/>
        <item x="14"/>
        <item x="8"/>
        <item x="13"/>
        <item x="2"/>
        <item x="11"/>
        <item x="3"/>
        <item x="16"/>
        <item x="6"/>
        <item x="0"/>
        <item x="12"/>
        <item x="5"/>
        <item x="4"/>
        <item x="19"/>
        <item x="1"/>
        <item x="26"/>
        <item x="22"/>
        <item x="24"/>
        <item x="27"/>
        <item x="7"/>
        <item x="21"/>
        <item x="10"/>
        <item x="20"/>
        <item x="17"/>
        <item t="default"/>
      </items>
    </pivotField>
    <pivotField axis="axisCol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Imipenem Statu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7D289-DB86-4584-AFF2-8A33D774BCD4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L21" firstHeaderRow="1" firstDataRow="2" firstDataCol="1"/>
  <pivotFields count="15">
    <pivotField showAll="0">
      <items count="13">
        <item x="10"/>
        <item x="11"/>
        <item x="9"/>
        <item x="1"/>
        <item x="2"/>
        <item x="0"/>
        <item x="7"/>
        <item x="8"/>
        <item x="6"/>
        <item x="4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Ceftazidime Statu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29CF1-6A3C-4BC2-85C0-C85094746348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5:E63" firstHeaderRow="1" firstDataRow="2" firstDataCol="1"/>
  <pivotFields count="15">
    <pivotField showAll="0">
      <items count="13">
        <item x="10"/>
        <item x="11"/>
        <item x="9"/>
        <item x="1"/>
        <item x="2"/>
        <item x="0"/>
        <item x="7"/>
        <item x="8"/>
        <item x="6"/>
        <item x="4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29">
        <item x="23"/>
        <item x="18"/>
        <item x="25"/>
        <item x="15"/>
        <item x="9"/>
        <item x="14"/>
        <item x="8"/>
        <item x="13"/>
        <item x="2"/>
        <item x="11"/>
        <item x="3"/>
        <item x="16"/>
        <item x="6"/>
        <item x="0"/>
        <item x="12"/>
        <item x="5"/>
        <item x="4"/>
        <item x="19"/>
        <item x="1"/>
        <item x="26"/>
        <item x="22"/>
        <item x="24"/>
        <item x="27"/>
        <item x="7"/>
        <item x="21"/>
        <item x="10"/>
        <item x="20"/>
        <item x="17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2"/>
        <item x="0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iprofloxacin Statu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05FE8-DDC4-41B9-B39A-98A24B0A3BDF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25:L43" firstHeaderRow="1" firstDataRow="2" firstDataCol="1"/>
  <pivotFields count="15">
    <pivotField showAll="0">
      <items count="13">
        <item x="10"/>
        <item x="11"/>
        <item x="9"/>
        <item x="1"/>
        <item x="2"/>
        <item x="0"/>
        <item x="7"/>
        <item x="8"/>
        <item x="6"/>
        <item x="4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29">
        <item x="23"/>
        <item x="18"/>
        <item x="25"/>
        <item x="15"/>
        <item x="9"/>
        <item x="14"/>
        <item x="8"/>
        <item x="13"/>
        <item x="2"/>
        <item x="11"/>
        <item x="3"/>
        <item x="16"/>
        <item x="6"/>
        <item x="0"/>
        <item x="12"/>
        <item x="5"/>
        <item x="4"/>
        <item x="19"/>
        <item x="1"/>
        <item x="26"/>
        <item x="22"/>
        <item x="24"/>
        <item x="27"/>
        <item x="7"/>
        <item x="21"/>
        <item x="10"/>
        <item x="20"/>
        <item x="17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Augmentin 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2C89-E506-463F-B50A-F6E9BAE5A33A}">
  <dimension ref="A1:S275"/>
  <sheetViews>
    <sheetView tabSelected="1" workbookViewId="0">
      <selection activeCell="I2" sqref="I2"/>
    </sheetView>
  </sheetViews>
  <sheetFormatPr defaultRowHeight="14.4"/>
  <cols>
    <col min="1" max="1" width="11.77734375" customWidth="1"/>
    <col min="5" max="5" width="8.88671875" style="6"/>
    <col min="7" max="7" width="8.88671875" style="33"/>
    <col min="9" max="9" width="8.88671875" style="6"/>
    <col min="13" max="13" width="15.109375" bestFit="1" customWidth="1"/>
    <col min="14" max="18" width="18.5546875" bestFit="1" customWidth="1"/>
    <col min="19" max="19" width="14.77734375" customWidth="1"/>
    <col min="20" max="20" width="16.21875" customWidth="1"/>
    <col min="21" max="21" width="11" customWidth="1"/>
  </cols>
  <sheetData>
    <row r="1" spans="1:19" s="2" customFormat="1">
      <c r="A1" s="2" t="s">
        <v>349</v>
      </c>
      <c r="B1" s="2" t="s">
        <v>72</v>
      </c>
      <c r="C1" s="2" t="s">
        <v>350</v>
      </c>
      <c r="D1" s="2" t="s">
        <v>47</v>
      </c>
      <c r="E1" s="31" t="s">
        <v>351</v>
      </c>
      <c r="F1" s="2" t="s">
        <v>48</v>
      </c>
      <c r="G1" s="32" t="s">
        <v>353</v>
      </c>
      <c r="H1" s="2" t="s">
        <v>49</v>
      </c>
      <c r="I1" s="31" t="s">
        <v>352</v>
      </c>
    </row>
    <row r="2" spans="1:19">
      <c r="A2" t="s">
        <v>22</v>
      </c>
      <c r="B2" t="s">
        <v>62</v>
      </c>
      <c r="C2">
        <v>73</v>
      </c>
      <c r="D2">
        <v>38</v>
      </c>
      <c r="E2" s="6">
        <f>D2/C2</f>
        <v>0.52054794520547942</v>
      </c>
      <c r="F2">
        <v>23</v>
      </c>
      <c r="G2" s="33">
        <f>F2/C2</f>
        <v>0.31506849315068491</v>
      </c>
      <c r="H2">
        <v>12</v>
      </c>
      <c r="I2" s="6">
        <f>H2/C2</f>
        <v>0.16438356164383561</v>
      </c>
      <c r="S2" s="1"/>
    </row>
    <row r="3" spans="1:19">
      <c r="A3" t="s">
        <v>22</v>
      </c>
      <c r="B3" t="s">
        <v>63</v>
      </c>
      <c r="C3">
        <v>69</v>
      </c>
      <c r="D3">
        <v>24</v>
      </c>
      <c r="E3" s="6">
        <f t="shared" ref="E3:E21" si="0">D3/C3</f>
        <v>0.34782608695652173</v>
      </c>
      <c r="F3">
        <v>31</v>
      </c>
      <c r="G3" s="33">
        <f t="shared" ref="G3:G21" si="1">F3/C3</f>
        <v>0.44927536231884058</v>
      </c>
      <c r="H3">
        <v>14</v>
      </c>
      <c r="I3" s="6">
        <f t="shared" ref="I3:I21" si="2">H3/C3</f>
        <v>0.20289855072463769</v>
      </c>
      <c r="M3" s="34"/>
      <c r="N3" s="35"/>
      <c r="O3" s="36"/>
      <c r="S3" s="1"/>
    </row>
    <row r="4" spans="1:19">
      <c r="A4" t="s">
        <v>22</v>
      </c>
      <c r="B4" t="s">
        <v>64</v>
      </c>
      <c r="C4">
        <v>69</v>
      </c>
      <c r="D4">
        <v>47</v>
      </c>
      <c r="E4" s="6">
        <f t="shared" si="0"/>
        <v>0.6811594202898551</v>
      </c>
      <c r="F4">
        <v>17</v>
      </c>
      <c r="G4" s="33">
        <f t="shared" si="1"/>
        <v>0.24637681159420291</v>
      </c>
      <c r="H4">
        <v>5</v>
      </c>
      <c r="I4" s="6">
        <f t="shared" si="2"/>
        <v>7.2463768115942032E-2</v>
      </c>
      <c r="M4" s="37"/>
      <c r="N4" s="38"/>
      <c r="O4" s="39"/>
      <c r="S4" s="1"/>
    </row>
    <row r="5" spans="1:19">
      <c r="A5" t="s">
        <v>22</v>
      </c>
      <c r="B5" t="s">
        <v>61</v>
      </c>
      <c r="C5">
        <v>63</v>
      </c>
      <c r="D5">
        <v>49</v>
      </c>
      <c r="E5" s="6">
        <f t="shared" si="0"/>
        <v>0.77777777777777779</v>
      </c>
      <c r="F5">
        <v>11</v>
      </c>
      <c r="G5" s="33">
        <f t="shared" si="1"/>
        <v>0.17460317460317459</v>
      </c>
      <c r="H5">
        <v>3</v>
      </c>
      <c r="I5" s="6">
        <f t="shared" si="2"/>
        <v>4.7619047619047616E-2</v>
      </c>
      <c r="M5" s="37"/>
      <c r="N5" s="38"/>
      <c r="O5" s="39"/>
      <c r="S5" s="1"/>
    </row>
    <row r="6" spans="1:19">
      <c r="A6" t="s">
        <v>27</v>
      </c>
      <c r="B6" t="s">
        <v>62</v>
      </c>
      <c r="C6">
        <v>73</v>
      </c>
      <c r="D6">
        <v>12</v>
      </c>
      <c r="E6" s="6">
        <f t="shared" si="0"/>
        <v>0.16438356164383561</v>
      </c>
      <c r="F6">
        <v>11</v>
      </c>
      <c r="G6" s="33">
        <f t="shared" si="1"/>
        <v>0.15068493150684931</v>
      </c>
      <c r="H6">
        <v>50</v>
      </c>
      <c r="I6" s="6">
        <f t="shared" si="2"/>
        <v>0.68493150684931503</v>
      </c>
      <c r="M6" s="37"/>
      <c r="N6" s="38"/>
      <c r="O6" s="39"/>
      <c r="S6" s="1"/>
    </row>
    <row r="7" spans="1:19">
      <c r="A7" t="s">
        <v>27</v>
      </c>
      <c r="B7" t="s">
        <v>63</v>
      </c>
      <c r="C7">
        <v>69</v>
      </c>
      <c r="D7">
        <v>5</v>
      </c>
      <c r="E7" s="6">
        <f t="shared" si="0"/>
        <v>7.2463768115942032E-2</v>
      </c>
      <c r="F7">
        <v>6</v>
      </c>
      <c r="G7" s="33">
        <f t="shared" si="1"/>
        <v>8.6956521739130432E-2</v>
      </c>
      <c r="H7">
        <v>58</v>
      </c>
      <c r="I7" s="6">
        <f t="shared" si="2"/>
        <v>0.84057971014492749</v>
      </c>
      <c r="M7" s="37"/>
      <c r="N7" s="38"/>
      <c r="O7" s="39"/>
      <c r="S7" s="1"/>
    </row>
    <row r="8" spans="1:19">
      <c r="A8" t="s">
        <v>27</v>
      </c>
      <c r="B8" t="s">
        <v>64</v>
      </c>
      <c r="C8">
        <v>69</v>
      </c>
      <c r="D8">
        <v>6</v>
      </c>
      <c r="E8" s="6">
        <f t="shared" si="0"/>
        <v>8.6956521739130432E-2</v>
      </c>
      <c r="F8">
        <v>4</v>
      </c>
      <c r="G8" s="33">
        <f t="shared" si="1"/>
        <v>5.7971014492753624E-2</v>
      </c>
      <c r="H8">
        <v>59</v>
      </c>
      <c r="I8" s="6">
        <f t="shared" si="2"/>
        <v>0.85507246376811596</v>
      </c>
      <c r="M8" s="37"/>
      <c r="N8" s="38"/>
      <c r="O8" s="39"/>
      <c r="S8" s="1"/>
    </row>
    <row r="9" spans="1:19">
      <c r="A9" t="s">
        <v>27</v>
      </c>
      <c r="B9" t="s">
        <v>61</v>
      </c>
      <c r="C9">
        <v>63</v>
      </c>
      <c r="D9">
        <v>7</v>
      </c>
      <c r="E9" s="6">
        <f t="shared" si="0"/>
        <v>0.1111111111111111</v>
      </c>
      <c r="F9">
        <v>12</v>
      </c>
      <c r="G9" s="33">
        <f t="shared" si="1"/>
        <v>0.19047619047619047</v>
      </c>
      <c r="H9">
        <v>44</v>
      </c>
      <c r="I9" s="6">
        <f t="shared" si="2"/>
        <v>0.69841269841269837</v>
      </c>
      <c r="M9" s="37"/>
      <c r="N9" s="38"/>
      <c r="O9" s="39"/>
      <c r="S9" s="1"/>
    </row>
    <row r="10" spans="1:19">
      <c r="A10" t="s">
        <v>32</v>
      </c>
      <c r="B10" t="s">
        <v>62</v>
      </c>
      <c r="C10">
        <v>73</v>
      </c>
      <c r="D10">
        <v>59</v>
      </c>
      <c r="E10" s="6">
        <f t="shared" si="0"/>
        <v>0.80821917808219179</v>
      </c>
      <c r="F10">
        <v>1</v>
      </c>
      <c r="G10" s="33">
        <f t="shared" si="1"/>
        <v>1.3698630136986301E-2</v>
      </c>
      <c r="H10">
        <v>13</v>
      </c>
      <c r="I10" s="6">
        <f t="shared" si="2"/>
        <v>0.17808219178082191</v>
      </c>
      <c r="M10" s="37"/>
      <c r="N10" s="38"/>
      <c r="O10" s="39"/>
      <c r="S10" s="1"/>
    </row>
    <row r="11" spans="1:19">
      <c r="A11" t="s">
        <v>32</v>
      </c>
      <c r="B11" t="s">
        <v>63</v>
      </c>
      <c r="C11">
        <v>69</v>
      </c>
      <c r="D11">
        <v>44</v>
      </c>
      <c r="E11" s="6">
        <f t="shared" si="0"/>
        <v>0.6376811594202898</v>
      </c>
      <c r="F11">
        <v>7</v>
      </c>
      <c r="G11" s="33">
        <f t="shared" si="1"/>
        <v>0.10144927536231885</v>
      </c>
      <c r="H11">
        <v>18</v>
      </c>
      <c r="I11" s="6">
        <f t="shared" si="2"/>
        <v>0.2608695652173913</v>
      </c>
      <c r="M11" s="37"/>
      <c r="N11" s="38"/>
      <c r="O11" s="39"/>
      <c r="S11" s="1"/>
    </row>
    <row r="12" spans="1:19">
      <c r="A12" t="s">
        <v>32</v>
      </c>
      <c r="B12" t="s">
        <v>64</v>
      </c>
      <c r="C12">
        <v>69</v>
      </c>
      <c r="D12">
        <v>59</v>
      </c>
      <c r="E12" s="6">
        <f t="shared" si="0"/>
        <v>0.85507246376811596</v>
      </c>
      <c r="F12">
        <v>2</v>
      </c>
      <c r="G12" s="33">
        <f t="shared" si="1"/>
        <v>2.8985507246376812E-2</v>
      </c>
      <c r="H12">
        <v>8</v>
      </c>
      <c r="I12" s="6">
        <f t="shared" si="2"/>
        <v>0.11594202898550725</v>
      </c>
      <c r="M12" s="37"/>
      <c r="N12" s="38"/>
      <c r="O12" s="39"/>
      <c r="S12" s="1"/>
    </row>
    <row r="13" spans="1:19">
      <c r="A13" t="s">
        <v>32</v>
      </c>
      <c r="B13" t="s">
        <v>61</v>
      </c>
      <c r="C13">
        <v>63</v>
      </c>
      <c r="D13">
        <v>55</v>
      </c>
      <c r="E13" s="6">
        <f t="shared" si="0"/>
        <v>0.87301587301587302</v>
      </c>
      <c r="F13">
        <v>1</v>
      </c>
      <c r="G13" s="33">
        <f t="shared" si="1"/>
        <v>1.5873015873015872E-2</v>
      </c>
      <c r="H13">
        <v>7</v>
      </c>
      <c r="I13" s="6">
        <f t="shared" si="2"/>
        <v>0.1111111111111111</v>
      </c>
      <c r="M13" s="37"/>
      <c r="N13" s="38"/>
      <c r="O13" s="39"/>
      <c r="S13" s="1"/>
    </row>
    <row r="14" spans="1:19">
      <c r="A14" t="s">
        <v>36</v>
      </c>
      <c r="B14" t="s">
        <v>62</v>
      </c>
      <c r="C14">
        <v>73</v>
      </c>
      <c r="D14">
        <v>30</v>
      </c>
      <c r="E14" s="6">
        <f t="shared" si="0"/>
        <v>0.41095890410958902</v>
      </c>
      <c r="F14">
        <v>14</v>
      </c>
      <c r="G14" s="33">
        <f t="shared" si="1"/>
        <v>0.19178082191780821</v>
      </c>
      <c r="H14">
        <v>29</v>
      </c>
      <c r="I14" s="6">
        <f t="shared" si="2"/>
        <v>0.39726027397260272</v>
      </c>
      <c r="M14" s="37"/>
      <c r="N14" s="38"/>
      <c r="O14" s="39"/>
      <c r="S14" s="1"/>
    </row>
    <row r="15" spans="1:19">
      <c r="A15" t="s">
        <v>36</v>
      </c>
      <c r="B15" t="s">
        <v>63</v>
      </c>
      <c r="C15">
        <v>69</v>
      </c>
      <c r="D15">
        <v>10</v>
      </c>
      <c r="E15" s="6">
        <f t="shared" si="0"/>
        <v>0.14492753623188406</v>
      </c>
      <c r="F15">
        <v>13</v>
      </c>
      <c r="G15" s="33">
        <f t="shared" si="1"/>
        <v>0.18840579710144928</v>
      </c>
      <c r="H15">
        <v>46</v>
      </c>
      <c r="I15" s="6">
        <f t="shared" si="2"/>
        <v>0.66666666666666663</v>
      </c>
      <c r="M15" s="37"/>
      <c r="N15" s="38"/>
      <c r="O15" s="39"/>
      <c r="S15" s="1"/>
    </row>
    <row r="16" spans="1:19">
      <c r="A16" t="s">
        <v>36</v>
      </c>
      <c r="B16" t="s">
        <v>64</v>
      </c>
      <c r="C16">
        <v>69</v>
      </c>
      <c r="D16">
        <v>10</v>
      </c>
      <c r="E16" s="6">
        <f t="shared" si="0"/>
        <v>0.14492753623188406</v>
      </c>
      <c r="F16">
        <v>9</v>
      </c>
      <c r="G16" s="33">
        <f t="shared" si="1"/>
        <v>0.13043478260869565</v>
      </c>
      <c r="H16">
        <v>50</v>
      </c>
      <c r="I16" s="6">
        <f t="shared" si="2"/>
        <v>0.72463768115942029</v>
      </c>
      <c r="M16" s="37"/>
      <c r="N16" s="38"/>
      <c r="O16" s="39"/>
      <c r="S16" s="1"/>
    </row>
    <row r="17" spans="1:19">
      <c r="A17" t="s">
        <v>36</v>
      </c>
      <c r="B17" t="s">
        <v>61</v>
      </c>
      <c r="C17">
        <v>63</v>
      </c>
      <c r="D17">
        <v>13</v>
      </c>
      <c r="E17" s="6">
        <f t="shared" si="0"/>
        <v>0.20634920634920634</v>
      </c>
      <c r="F17">
        <v>14</v>
      </c>
      <c r="G17" s="33">
        <f t="shared" si="1"/>
        <v>0.22222222222222221</v>
      </c>
      <c r="H17">
        <v>36</v>
      </c>
      <c r="I17" s="6">
        <f t="shared" si="2"/>
        <v>0.5714285714285714</v>
      </c>
      <c r="M17" s="37"/>
      <c r="N17" s="38"/>
      <c r="O17" s="39"/>
      <c r="S17" s="1"/>
    </row>
    <row r="18" spans="1:19">
      <c r="A18" t="s">
        <v>41</v>
      </c>
      <c r="B18" t="s">
        <v>62</v>
      </c>
      <c r="C18">
        <v>73</v>
      </c>
      <c r="D18">
        <v>10</v>
      </c>
      <c r="E18" s="6">
        <f t="shared" si="0"/>
        <v>0.13698630136986301</v>
      </c>
      <c r="F18">
        <v>35</v>
      </c>
      <c r="G18" s="33">
        <f t="shared" si="1"/>
        <v>0.47945205479452052</v>
      </c>
      <c r="H18">
        <v>28</v>
      </c>
      <c r="I18" s="6">
        <f t="shared" si="2"/>
        <v>0.38356164383561642</v>
      </c>
      <c r="M18" s="37"/>
      <c r="N18" s="38"/>
      <c r="O18" s="39"/>
      <c r="S18" s="1"/>
    </row>
    <row r="19" spans="1:19">
      <c r="A19" t="s">
        <v>41</v>
      </c>
      <c r="B19" t="s">
        <v>63</v>
      </c>
      <c r="C19">
        <v>69</v>
      </c>
      <c r="D19">
        <v>6</v>
      </c>
      <c r="E19" s="6">
        <f t="shared" si="0"/>
        <v>8.6956521739130432E-2</v>
      </c>
      <c r="F19">
        <v>24</v>
      </c>
      <c r="G19" s="33">
        <f t="shared" si="1"/>
        <v>0.34782608695652173</v>
      </c>
      <c r="H19">
        <v>39</v>
      </c>
      <c r="I19" s="6">
        <f t="shared" si="2"/>
        <v>0.56521739130434778</v>
      </c>
      <c r="M19" s="37"/>
      <c r="N19" s="38"/>
      <c r="O19" s="39"/>
      <c r="S19" s="1"/>
    </row>
    <row r="20" spans="1:19">
      <c r="A20" t="s">
        <v>41</v>
      </c>
      <c r="B20" t="s">
        <v>64</v>
      </c>
      <c r="C20">
        <v>69</v>
      </c>
      <c r="D20">
        <v>5</v>
      </c>
      <c r="E20" s="6">
        <f t="shared" si="0"/>
        <v>7.2463768115942032E-2</v>
      </c>
      <c r="F20">
        <v>20</v>
      </c>
      <c r="G20" s="33">
        <f t="shared" si="1"/>
        <v>0.28985507246376813</v>
      </c>
      <c r="H20">
        <v>44</v>
      </c>
      <c r="I20" s="6">
        <f t="shared" si="2"/>
        <v>0.6376811594202898</v>
      </c>
      <c r="M20" s="40"/>
      <c r="N20" s="41"/>
      <c r="O20" s="42"/>
      <c r="S20" s="1"/>
    </row>
    <row r="21" spans="1:19">
      <c r="A21" t="s">
        <v>41</v>
      </c>
      <c r="B21" t="s">
        <v>61</v>
      </c>
      <c r="C21">
        <v>63</v>
      </c>
      <c r="D21">
        <v>8</v>
      </c>
      <c r="E21" s="6">
        <f t="shared" si="0"/>
        <v>0.12698412698412698</v>
      </c>
      <c r="F21">
        <v>26</v>
      </c>
      <c r="G21" s="33">
        <f t="shared" si="1"/>
        <v>0.41269841269841268</v>
      </c>
      <c r="H21">
        <v>29</v>
      </c>
      <c r="I21" s="6">
        <f t="shared" si="2"/>
        <v>0.46031746031746029</v>
      </c>
      <c r="S21" s="1"/>
    </row>
    <row r="22" spans="1:19">
      <c r="S22" s="1"/>
    </row>
    <row r="23" spans="1:19">
      <c r="S23" s="1"/>
    </row>
    <row r="24" spans="1:19">
      <c r="S24" s="1"/>
    </row>
    <row r="25" spans="1:19">
      <c r="S25" s="1"/>
    </row>
    <row r="26" spans="1:19">
      <c r="S26" s="1"/>
    </row>
    <row r="27" spans="1:19">
      <c r="S27" s="1"/>
    </row>
    <row r="28" spans="1:19">
      <c r="S28" s="1"/>
    </row>
    <row r="29" spans="1:19">
      <c r="S29" s="1"/>
    </row>
    <row r="30" spans="1:19">
      <c r="S30" s="1"/>
    </row>
    <row r="31" spans="1:19">
      <c r="S31" s="1"/>
    </row>
    <row r="32" spans="1:19">
      <c r="S32" s="1"/>
    </row>
    <row r="33" spans="19:19">
      <c r="S33" s="1"/>
    </row>
    <row r="34" spans="19:19">
      <c r="S34" s="1"/>
    </row>
    <row r="35" spans="19:19">
      <c r="S35" s="1"/>
    </row>
    <row r="36" spans="19:19">
      <c r="S36" s="1"/>
    </row>
    <row r="37" spans="19:19">
      <c r="S37" s="1"/>
    </row>
    <row r="38" spans="19:19">
      <c r="S38" s="1"/>
    </row>
    <row r="39" spans="19:19">
      <c r="S39" s="1"/>
    </row>
    <row r="40" spans="19:19">
      <c r="S40" s="1"/>
    </row>
    <row r="41" spans="19:19">
      <c r="S41" s="1"/>
    </row>
    <row r="42" spans="19:19">
      <c r="S42" s="1"/>
    </row>
    <row r="43" spans="19:19">
      <c r="S43" s="1"/>
    </row>
    <row r="44" spans="19:19">
      <c r="S44" s="1"/>
    </row>
    <row r="45" spans="19:19">
      <c r="S45" s="1"/>
    </row>
    <row r="46" spans="19:19">
      <c r="S46" s="1"/>
    </row>
    <row r="47" spans="19:19">
      <c r="S47" s="1"/>
    </row>
    <row r="48" spans="19:19">
      <c r="S48" s="1"/>
    </row>
    <row r="49" spans="19:19">
      <c r="S49" s="1"/>
    </row>
    <row r="50" spans="19:19">
      <c r="S50" s="1"/>
    </row>
    <row r="51" spans="19:19">
      <c r="S51" s="1"/>
    </row>
    <row r="52" spans="19:19">
      <c r="S52" s="1"/>
    </row>
    <row r="53" spans="19:19">
      <c r="S53" s="1"/>
    </row>
    <row r="54" spans="19:19">
      <c r="S54" s="1"/>
    </row>
    <row r="55" spans="19:19">
      <c r="S55" s="1"/>
    </row>
    <row r="56" spans="19:19">
      <c r="S56" s="1"/>
    </row>
    <row r="57" spans="19:19">
      <c r="S57" s="1"/>
    </row>
    <row r="58" spans="19:19">
      <c r="S58" s="1"/>
    </row>
    <row r="59" spans="19:19">
      <c r="S59" s="1"/>
    </row>
    <row r="60" spans="19:19">
      <c r="S60" s="1"/>
    </row>
    <row r="61" spans="19:19">
      <c r="S61" s="1"/>
    </row>
    <row r="62" spans="19:19">
      <c r="S62" s="1"/>
    </row>
    <row r="63" spans="19:19">
      <c r="S63" s="1"/>
    </row>
    <row r="64" spans="19:19">
      <c r="S64" s="1"/>
    </row>
    <row r="65" spans="19:19">
      <c r="S65" s="1"/>
    </row>
    <row r="66" spans="19:19">
      <c r="S66" s="1"/>
    </row>
    <row r="67" spans="19:19">
      <c r="S67" s="1"/>
    </row>
    <row r="68" spans="19:19">
      <c r="S68" s="1"/>
    </row>
    <row r="69" spans="19:19">
      <c r="S69" s="1"/>
    </row>
    <row r="70" spans="19:19">
      <c r="S70" s="1"/>
    </row>
    <row r="71" spans="19:19">
      <c r="S71" s="1"/>
    </row>
    <row r="72" spans="19:19">
      <c r="S72" s="1"/>
    </row>
    <row r="73" spans="19:19">
      <c r="S73" s="1"/>
    </row>
    <row r="74" spans="19:19">
      <c r="S74" s="1"/>
    </row>
    <row r="75" spans="19:19">
      <c r="S75" s="1"/>
    </row>
    <row r="76" spans="19:19">
      <c r="S76" s="1"/>
    </row>
    <row r="77" spans="19:19">
      <c r="S77" s="1"/>
    </row>
    <row r="78" spans="19:19">
      <c r="S78" s="1"/>
    </row>
    <row r="79" spans="19:19">
      <c r="S79" s="1"/>
    </row>
    <row r="80" spans="19:19">
      <c r="S80" s="1"/>
    </row>
    <row r="81" spans="19:19">
      <c r="S81" s="1"/>
    </row>
    <row r="82" spans="19:19">
      <c r="S82" s="1"/>
    </row>
    <row r="83" spans="19:19">
      <c r="S83" s="1"/>
    </row>
    <row r="84" spans="19:19">
      <c r="S84" s="1"/>
    </row>
    <row r="85" spans="19:19">
      <c r="S85" s="1"/>
    </row>
    <row r="86" spans="19:19">
      <c r="S86" s="1"/>
    </row>
    <row r="87" spans="19:19">
      <c r="S87" s="1"/>
    </row>
    <row r="88" spans="19:19">
      <c r="S88" s="1"/>
    </row>
    <row r="89" spans="19:19">
      <c r="S89" s="1"/>
    </row>
    <row r="90" spans="19:19">
      <c r="S90" s="1"/>
    </row>
    <row r="91" spans="19:19">
      <c r="S91" s="1"/>
    </row>
    <row r="92" spans="19:19">
      <c r="S92" s="1"/>
    </row>
    <row r="93" spans="19:19">
      <c r="S93" s="1"/>
    </row>
    <row r="94" spans="19:19">
      <c r="S94" s="1"/>
    </row>
    <row r="95" spans="19:19">
      <c r="S95" s="1"/>
    </row>
    <row r="96" spans="19:19">
      <c r="S96" s="1"/>
    </row>
    <row r="97" spans="19:19">
      <c r="S97" s="1"/>
    </row>
    <row r="98" spans="19:19">
      <c r="S98" s="1"/>
    </row>
    <row r="99" spans="19:19">
      <c r="S99" s="1"/>
    </row>
    <row r="100" spans="19:19">
      <c r="S100" s="1"/>
    </row>
    <row r="101" spans="19:19">
      <c r="S101" s="1"/>
    </row>
    <row r="102" spans="19:19">
      <c r="S102" s="1"/>
    </row>
    <row r="103" spans="19:19">
      <c r="S103" s="1"/>
    </row>
    <row r="104" spans="19:19">
      <c r="S104" s="1"/>
    </row>
    <row r="105" spans="19:19">
      <c r="S105" s="1"/>
    </row>
    <row r="106" spans="19:19">
      <c r="S106" s="1"/>
    </row>
    <row r="107" spans="19:19">
      <c r="S107" s="1"/>
    </row>
    <row r="108" spans="19:19">
      <c r="S108" s="1"/>
    </row>
    <row r="109" spans="19:19">
      <c r="S109" s="1"/>
    </row>
    <row r="110" spans="19:19">
      <c r="S110" s="1"/>
    </row>
    <row r="111" spans="19:19">
      <c r="S111" s="1"/>
    </row>
    <row r="112" spans="19:19">
      <c r="S112" s="1"/>
    </row>
    <row r="113" spans="19:19">
      <c r="S113" s="1"/>
    </row>
    <row r="114" spans="19:19">
      <c r="S114" s="1"/>
    </row>
    <row r="115" spans="19:19">
      <c r="S115" s="1"/>
    </row>
    <row r="116" spans="19:19">
      <c r="S116" s="1"/>
    </row>
    <row r="117" spans="19:19">
      <c r="S117" s="1"/>
    </row>
    <row r="118" spans="19:19">
      <c r="S118" s="1"/>
    </row>
    <row r="119" spans="19:19">
      <c r="S119" s="1"/>
    </row>
    <row r="120" spans="19:19">
      <c r="S120" s="1"/>
    </row>
    <row r="121" spans="19:19">
      <c r="S121" s="1"/>
    </row>
    <row r="122" spans="19:19">
      <c r="S122" s="1"/>
    </row>
    <row r="123" spans="19:19">
      <c r="S123" s="1"/>
    </row>
    <row r="124" spans="19:19">
      <c r="S124" s="1"/>
    </row>
    <row r="125" spans="19:19">
      <c r="S125" s="1"/>
    </row>
    <row r="126" spans="19:19">
      <c r="S126" s="1"/>
    </row>
    <row r="127" spans="19:19">
      <c r="S127" s="1"/>
    </row>
    <row r="128" spans="19:19">
      <c r="S128" s="1"/>
    </row>
    <row r="129" spans="19:19">
      <c r="S129" s="1"/>
    </row>
    <row r="130" spans="19:19">
      <c r="S130" s="1"/>
    </row>
    <row r="131" spans="19:19">
      <c r="S131" s="1"/>
    </row>
    <row r="132" spans="19:19">
      <c r="S132" s="1"/>
    </row>
    <row r="133" spans="19:19">
      <c r="S133" s="1"/>
    </row>
    <row r="134" spans="19:19">
      <c r="S134" s="1"/>
    </row>
    <row r="135" spans="19:19">
      <c r="S135" s="1"/>
    </row>
    <row r="136" spans="19:19">
      <c r="S136" s="1"/>
    </row>
    <row r="137" spans="19:19">
      <c r="S137" s="1"/>
    </row>
    <row r="138" spans="19:19">
      <c r="S138" s="1"/>
    </row>
    <row r="139" spans="19:19">
      <c r="S139" s="1"/>
    </row>
    <row r="140" spans="19:19">
      <c r="S140" s="1"/>
    </row>
    <row r="141" spans="19:19">
      <c r="S141" s="1"/>
    </row>
    <row r="142" spans="19:19">
      <c r="S142" s="1"/>
    </row>
    <row r="143" spans="19:19">
      <c r="S143" s="1"/>
    </row>
    <row r="144" spans="19:19">
      <c r="S144" s="1"/>
    </row>
    <row r="145" spans="19:19">
      <c r="S145" s="1"/>
    </row>
    <row r="146" spans="19:19">
      <c r="S146" s="1"/>
    </row>
    <row r="147" spans="19:19">
      <c r="S147" s="1"/>
    </row>
    <row r="148" spans="19:19">
      <c r="S148" s="1"/>
    </row>
    <row r="149" spans="19:19">
      <c r="S149" s="1"/>
    </row>
    <row r="150" spans="19:19">
      <c r="S150" s="1"/>
    </row>
    <row r="151" spans="19:19">
      <c r="S151" s="1"/>
    </row>
    <row r="152" spans="19:19">
      <c r="S152" s="1"/>
    </row>
    <row r="153" spans="19:19">
      <c r="S153" s="1"/>
    </row>
    <row r="154" spans="19:19">
      <c r="S154" s="1"/>
    </row>
    <row r="155" spans="19:19">
      <c r="S155" s="1"/>
    </row>
    <row r="156" spans="19:19">
      <c r="S156" s="1"/>
    </row>
    <row r="157" spans="19:19">
      <c r="S157" s="1"/>
    </row>
    <row r="158" spans="19:19">
      <c r="S158" s="1"/>
    </row>
    <row r="159" spans="19:19">
      <c r="S159" s="1"/>
    </row>
    <row r="160" spans="19:19">
      <c r="S160" s="1"/>
    </row>
    <row r="161" spans="19:19">
      <c r="S161" s="1"/>
    </row>
    <row r="162" spans="19:19">
      <c r="S162" s="1"/>
    </row>
    <row r="163" spans="19:19">
      <c r="S163" s="1"/>
    </row>
    <row r="164" spans="19:19">
      <c r="S164" s="1"/>
    </row>
    <row r="165" spans="19:19">
      <c r="S165" s="1"/>
    </row>
    <row r="166" spans="19:19">
      <c r="S166" s="1"/>
    </row>
    <row r="167" spans="19:19">
      <c r="S167" s="1"/>
    </row>
    <row r="168" spans="19:19">
      <c r="S168" s="1"/>
    </row>
    <row r="169" spans="19:19">
      <c r="S169" s="1"/>
    </row>
    <row r="170" spans="19:19">
      <c r="S170" s="1"/>
    </row>
    <row r="171" spans="19:19">
      <c r="S171" s="1"/>
    </row>
    <row r="172" spans="19:19">
      <c r="S172" s="1"/>
    </row>
    <row r="173" spans="19:19">
      <c r="S173" s="1"/>
    </row>
    <row r="174" spans="19:19">
      <c r="S174" s="1"/>
    </row>
    <row r="175" spans="19:19">
      <c r="S175" s="1"/>
    </row>
    <row r="176" spans="19:19">
      <c r="S176" s="1"/>
    </row>
    <row r="177" spans="19:19">
      <c r="S177" s="1"/>
    </row>
    <row r="178" spans="19:19">
      <c r="S178" s="1"/>
    </row>
    <row r="179" spans="19:19">
      <c r="S179" s="1"/>
    </row>
    <row r="180" spans="19:19">
      <c r="S180" s="1"/>
    </row>
    <row r="181" spans="19:19">
      <c r="S181" s="1"/>
    </row>
    <row r="182" spans="19:19">
      <c r="S182" s="1"/>
    </row>
    <row r="183" spans="19:19">
      <c r="S183" s="1"/>
    </row>
    <row r="184" spans="19:19">
      <c r="S184" s="1"/>
    </row>
    <row r="185" spans="19:19">
      <c r="S185" s="1"/>
    </row>
    <row r="186" spans="19:19">
      <c r="S186" s="1"/>
    </row>
    <row r="187" spans="19:19">
      <c r="S187" s="1"/>
    </row>
    <row r="188" spans="19:19">
      <c r="S188" s="1"/>
    </row>
    <row r="189" spans="19:19">
      <c r="S189" s="1"/>
    </row>
    <row r="190" spans="19:19">
      <c r="S190" s="1"/>
    </row>
    <row r="191" spans="19:19">
      <c r="S191" s="1"/>
    </row>
    <row r="192" spans="19:19">
      <c r="S192" s="1"/>
    </row>
    <row r="193" spans="19:19">
      <c r="S193" s="1"/>
    </row>
    <row r="194" spans="19:19">
      <c r="S194" s="1"/>
    </row>
    <row r="195" spans="19:19">
      <c r="S195" s="1"/>
    </row>
    <row r="196" spans="19:19">
      <c r="S196" s="1"/>
    </row>
    <row r="197" spans="19:19">
      <c r="S197" s="1"/>
    </row>
    <row r="198" spans="19:19">
      <c r="S198" s="1"/>
    </row>
    <row r="199" spans="19:19">
      <c r="S199" s="1"/>
    </row>
    <row r="200" spans="19:19">
      <c r="S200" s="1"/>
    </row>
    <row r="201" spans="19:19">
      <c r="S201" s="1"/>
    </row>
    <row r="202" spans="19:19">
      <c r="S202" s="1"/>
    </row>
    <row r="203" spans="19:19">
      <c r="S203" s="1"/>
    </row>
    <row r="204" spans="19:19">
      <c r="S204" s="1"/>
    </row>
    <row r="205" spans="19:19">
      <c r="S205" s="1"/>
    </row>
    <row r="206" spans="19:19">
      <c r="S206" s="1"/>
    </row>
    <row r="207" spans="19:19">
      <c r="S207" s="1"/>
    </row>
    <row r="208" spans="19:19">
      <c r="S208" s="1"/>
    </row>
    <row r="209" spans="19:19">
      <c r="S209" s="1"/>
    </row>
    <row r="210" spans="19:19">
      <c r="S210" s="1"/>
    </row>
    <row r="211" spans="19:19">
      <c r="S211" s="1"/>
    </row>
    <row r="212" spans="19:19">
      <c r="S212" s="1"/>
    </row>
    <row r="213" spans="19:19">
      <c r="S213" s="1"/>
    </row>
    <row r="214" spans="19:19">
      <c r="S214" s="1"/>
    </row>
    <row r="215" spans="19:19">
      <c r="S215" s="1"/>
    </row>
    <row r="216" spans="19:19">
      <c r="S216" s="1"/>
    </row>
    <row r="217" spans="19:19">
      <c r="S217" s="1"/>
    </row>
    <row r="218" spans="19:19">
      <c r="S218" s="1"/>
    </row>
    <row r="219" spans="19:19">
      <c r="S219" s="1"/>
    </row>
    <row r="220" spans="19:19">
      <c r="S220" s="1"/>
    </row>
    <row r="221" spans="19:19">
      <c r="S221" s="1"/>
    </row>
    <row r="222" spans="19:19">
      <c r="S222" s="1"/>
    </row>
    <row r="223" spans="19:19">
      <c r="S223" s="1"/>
    </row>
    <row r="224" spans="19:19">
      <c r="S224" s="1"/>
    </row>
    <row r="225" spans="19:19">
      <c r="S225" s="1"/>
    </row>
    <row r="226" spans="19:19">
      <c r="S226" s="1"/>
    </row>
    <row r="227" spans="19:19">
      <c r="S227" s="1"/>
    </row>
    <row r="228" spans="19:19">
      <c r="S228" s="1"/>
    </row>
    <row r="229" spans="19:19">
      <c r="S229" s="1"/>
    </row>
    <row r="230" spans="19:19">
      <c r="S230" s="1"/>
    </row>
    <row r="231" spans="19:19">
      <c r="S231" s="1"/>
    </row>
    <row r="232" spans="19:19">
      <c r="S232" s="1"/>
    </row>
    <row r="233" spans="19:19">
      <c r="S233" s="1"/>
    </row>
    <row r="234" spans="19:19">
      <c r="S234" s="1"/>
    </row>
    <row r="235" spans="19:19">
      <c r="S235" s="1"/>
    </row>
    <row r="236" spans="19:19">
      <c r="S236" s="1"/>
    </row>
    <row r="237" spans="19:19">
      <c r="S237" s="1"/>
    </row>
    <row r="238" spans="19:19">
      <c r="S238" s="1"/>
    </row>
    <row r="239" spans="19:19">
      <c r="S239" s="1"/>
    </row>
    <row r="240" spans="19:19">
      <c r="S240" s="1"/>
    </row>
    <row r="241" spans="19:19">
      <c r="S241" s="1"/>
    </row>
    <row r="242" spans="19:19">
      <c r="S242" s="1"/>
    </row>
    <row r="243" spans="19:19">
      <c r="S243" s="1"/>
    </row>
    <row r="244" spans="19:19">
      <c r="S244" s="1"/>
    </row>
    <row r="245" spans="19:19">
      <c r="S245" s="1"/>
    </row>
    <row r="246" spans="19:19">
      <c r="S246" s="1"/>
    </row>
    <row r="247" spans="19:19">
      <c r="S247" s="1"/>
    </row>
    <row r="248" spans="19:19">
      <c r="S248" s="1"/>
    </row>
    <row r="249" spans="19:19">
      <c r="S249" s="1"/>
    </row>
    <row r="250" spans="19:19">
      <c r="S250" s="1"/>
    </row>
    <row r="251" spans="19:19">
      <c r="S251" s="1"/>
    </row>
    <row r="252" spans="19:19">
      <c r="S252" s="1"/>
    </row>
    <row r="253" spans="19:19">
      <c r="S253" s="1"/>
    </row>
    <row r="254" spans="19:19">
      <c r="S254" s="1"/>
    </row>
    <row r="255" spans="19:19">
      <c r="S255" s="1"/>
    </row>
    <row r="256" spans="19:19">
      <c r="S256" s="1"/>
    </row>
    <row r="257" spans="19:19">
      <c r="S257" s="1"/>
    </row>
    <row r="258" spans="19:19">
      <c r="S258" s="1"/>
    </row>
    <row r="259" spans="19:19">
      <c r="S259" s="1"/>
    </row>
    <row r="260" spans="19:19">
      <c r="S260" s="1"/>
    </row>
    <row r="261" spans="19:19">
      <c r="S261" s="1"/>
    </row>
    <row r="262" spans="19:19">
      <c r="S262" s="1"/>
    </row>
    <row r="263" spans="19:19">
      <c r="S263" s="1"/>
    </row>
    <row r="264" spans="19:19">
      <c r="S264" s="1"/>
    </row>
    <row r="265" spans="19:19">
      <c r="S265" s="1"/>
    </row>
    <row r="266" spans="19:19">
      <c r="S266" s="1"/>
    </row>
    <row r="267" spans="19:19">
      <c r="S267" s="1"/>
    </row>
    <row r="268" spans="19:19">
      <c r="S268" s="1"/>
    </row>
    <row r="269" spans="19:19">
      <c r="S269" s="1"/>
    </row>
    <row r="270" spans="19:19">
      <c r="S270" s="1"/>
    </row>
    <row r="271" spans="19:19">
      <c r="S271" s="1"/>
    </row>
    <row r="272" spans="19:19">
      <c r="S272" s="1"/>
    </row>
    <row r="273" spans="19:19">
      <c r="S273" s="1"/>
    </row>
    <row r="274" spans="19:19">
      <c r="S274" s="1"/>
    </row>
    <row r="275" spans="19:19">
      <c r="S275" s="1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58B7-6AC9-49BD-BBCA-B88A798FB3C0}">
  <dimension ref="A3:AG36"/>
  <sheetViews>
    <sheetView zoomScale="85" zoomScaleNormal="85" workbookViewId="0">
      <selection activeCell="N28" sqref="N28"/>
    </sheetView>
  </sheetViews>
  <sheetFormatPr defaultRowHeight="14.4"/>
  <cols>
    <col min="1" max="1" width="18.77734375" bestFit="1" customWidth="1"/>
    <col min="2" max="2" width="16.44140625" bestFit="1" customWidth="1"/>
    <col min="3" max="3" width="9" bestFit="1" customWidth="1"/>
    <col min="4" max="4" width="8.88671875" bestFit="1" customWidth="1"/>
    <col min="5" max="5" width="11.44140625" bestFit="1" customWidth="1"/>
    <col min="6" max="6" width="5" customWidth="1"/>
    <col min="7" max="7" width="20.6640625" bestFit="1" customWidth="1"/>
    <col min="8" max="8" width="16.44140625" bestFit="1" customWidth="1"/>
    <col min="9" max="9" width="9" bestFit="1" customWidth="1"/>
    <col min="10" max="10" width="8.88671875" bestFit="1" customWidth="1"/>
    <col min="11" max="11" width="11.44140625" bestFit="1" customWidth="1"/>
    <col min="12" max="12" width="5" customWidth="1"/>
    <col min="13" max="13" width="23.6640625" bestFit="1" customWidth="1"/>
    <col min="14" max="14" width="16.44140625" bestFit="1" customWidth="1"/>
    <col min="15" max="15" width="9" bestFit="1" customWidth="1"/>
    <col min="16" max="16" width="8.88671875" bestFit="1" customWidth="1"/>
    <col min="17" max="17" width="11.44140625" bestFit="1" customWidth="1"/>
    <col min="18" max="18" width="8.44140625" bestFit="1" customWidth="1"/>
    <col min="19" max="19" width="18.44140625" bestFit="1" customWidth="1"/>
    <col min="20" max="20" width="8.5546875" bestFit="1" customWidth="1"/>
    <col min="21" max="21" width="8.44140625" bestFit="1" customWidth="1"/>
    <col min="22" max="22" width="26.33203125" bestFit="1" customWidth="1"/>
    <col min="23" max="23" width="26.6640625" bestFit="1" customWidth="1"/>
    <col min="24" max="24" width="18.109375" bestFit="1" customWidth="1"/>
    <col min="25" max="25" width="8.5546875" bestFit="1" customWidth="1"/>
    <col min="26" max="26" width="8.44140625" bestFit="1" customWidth="1"/>
    <col min="27" max="27" width="18.44140625" bestFit="1" customWidth="1"/>
    <col min="28" max="28" width="8.5546875" bestFit="1" customWidth="1"/>
    <col min="29" max="29" width="8.44140625" bestFit="1" customWidth="1"/>
    <col min="30" max="30" width="26.21875" bestFit="1" customWidth="1"/>
    <col min="31" max="31" width="26.5546875" bestFit="1" customWidth="1"/>
    <col min="32" max="32" width="22.88671875" bestFit="1" customWidth="1"/>
    <col min="33" max="33" width="23.21875" bestFit="1" customWidth="1"/>
  </cols>
  <sheetData>
    <row r="3" spans="1:17">
      <c r="A3" s="4" t="s">
        <v>52</v>
      </c>
      <c r="B3" s="4" t="s">
        <v>53</v>
      </c>
      <c r="G3" s="4" t="s">
        <v>54</v>
      </c>
      <c r="H3" s="4" t="s">
        <v>53</v>
      </c>
      <c r="M3" s="4" t="s">
        <v>57</v>
      </c>
      <c r="N3" s="4" t="s">
        <v>53</v>
      </c>
    </row>
    <row r="4" spans="1:17">
      <c r="A4" s="4" t="s">
        <v>50</v>
      </c>
      <c r="B4" t="s">
        <v>48</v>
      </c>
      <c r="C4" t="s">
        <v>49</v>
      </c>
      <c r="D4" t="s">
        <v>47</v>
      </c>
      <c r="E4" t="s">
        <v>51</v>
      </c>
      <c r="G4" s="4" t="s">
        <v>50</v>
      </c>
      <c r="H4" t="s">
        <v>48</v>
      </c>
      <c r="I4" t="s">
        <v>49</v>
      </c>
      <c r="J4" t="s">
        <v>47</v>
      </c>
      <c r="K4" t="s">
        <v>51</v>
      </c>
      <c r="M4" s="4" t="s">
        <v>50</v>
      </c>
      <c r="N4" t="s">
        <v>48</v>
      </c>
      <c r="O4" t="s">
        <v>49</v>
      </c>
      <c r="P4" t="s">
        <v>47</v>
      </c>
      <c r="Q4" t="s">
        <v>51</v>
      </c>
    </row>
    <row r="5" spans="1:17">
      <c r="A5" s="5" t="s">
        <v>13</v>
      </c>
      <c r="B5" s="7">
        <v>3</v>
      </c>
      <c r="C5" s="7"/>
      <c r="D5" s="7">
        <v>18</v>
      </c>
      <c r="E5" s="7">
        <v>21</v>
      </c>
      <c r="G5" s="5" t="s">
        <v>13</v>
      </c>
      <c r="H5" s="7">
        <v>7</v>
      </c>
      <c r="I5" s="7">
        <v>13</v>
      </c>
      <c r="J5" s="7">
        <v>1</v>
      </c>
      <c r="K5" s="7">
        <v>21</v>
      </c>
      <c r="M5" s="5" t="s">
        <v>13</v>
      </c>
      <c r="N5" s="7">
        <v>3</v>
      </c>
      <c r="O5" s="7"/>
      <c r="P5" s="7">
        <v>18</v>
      </c>
      <c r="Q5" s="7">
        <v>21</v>
      </c>
    </row>
    <row r="6" spans="1:17">
      <c r="A6" s="5" t="s">
        <v>14</v>
      </c>
      <c r="B6" s="7">
        <v>6</v>
      </c>
      <c r="C6" s="7">
        <v>2</v>
      </c>
      <c r="D6" s="7">
        <v>13</v>
      </c>
      <c r="E6" s="7">
        <v>21</v>
      </c>
      <c r="G6" s="5" t="s">
        <v>14</v>
      </c>
      <c r="H6" s="7">
        <v>1</v>
      </c>
      <c r="I6" s="7">
        <v>17</v>
      </c>
      <c r="J6" s="7">
        <v>3</v>
      </c>
      <c r="K6" s="7">
        <v>21</v>
      </c>
      <c r="M6" s="5" t="s">
        <v>14</v>
      </c>
      <c r="N6" s="7">
        <v>6</v>
      </c>
      <c r="O6" s="7">
        <v>2</v>
      </c>
      <c r="P6" s="7">
        <v>13</v>
      </c>
      <c r="Q6" s="7">
        <v>21</v>
      </c>
    </row>
    <row r="7" spans="1:17">
      <c r="A7" s="5" t="s">
        <v>12</v>
      </c>
      <c r="B7" s="7">
        <v>2</v>
      </c>
      <c r="C7" s="7">
        <v>1</v>
      </c>
      <c r="D7" s="7">
        <v>18</v>
      </c>
      <c r="E7" s="7">
        <v>21</v>
      </c>
      <c r="G7" s="5" t="s">
        <v>12</v>
      </c>
      <c r="H7" s="7">
        <v>4</v>
      </c>
      <c r="I7" s="7">
        <v>14</v>
      </c>
      <c r="J7" s="7">
        <v>3</v>
      </c>
      <c r="K7" s="7">
        <v>21</v>
      </c>
      <c r="M7" s="5" t="s">
        <v>12</v>
      </c>
      <c r="N7" s="7">
        <v>2</v>
      </c>
      <c r="O7" s="7">
        <v>1</v>
      </c>
      <c r="P7" s="7">
        <v>18</v>
      </c>
      <c r="Q7" s="7">
        <v>21</v>
      </c>
    </row>
    <row r="8" spans="1:17">
      <c r="A8" s="5" t="s">
        <v>4</v>
      </c>
      <c r="B8" s="7">
        <v>7</v>
      </c>
      <c r="C8" s="7">
        <v>7</v>
      </c>
      <c r="D8" s="7">
        <v>4</v>
      </c>
      <c r="E8" s="7">
        <v>18</v>
      </c>
      <c r="G8" s="5" t="s">
        <v>4</v>
      </c>
      <c r="H8" s="7"/>
      <c r="I8" s="7">
        <v>17</v>
      </c>
      <c r="J8" s="7">
        <v>1</v>
      </c>
      <c r="K8" s="7">
        <v>18</v>
      </c>
      <c r="M8" s="5" t="s">
        <v>4</v>
      </c>
      <c r="N8" s="7">
        <v>7</v>
      </c>
      <c r="O8" s="7">
        <v>7</v>
      </c>
      <c r="P8" s="7">
        <v>4</v>
      </c>
      <c r="Q8" s="7">
        <v>18</v>
      </c>
    </row>
    <row r="9" spans="1:17">
      <c r="A9" s="5" t="s">
        <v>5</v>
      </c>
      <c r="B9" s="7">
        <v>4</v>
      </c>
      <c r="C9" s="7">
        <v>2</v>
      </c>
      <c r="D9" s="7">
        <v>18</v>
      </c>
      <c r="E9" s="7">
        <v>24</v>
      </c>
      <c r="G9" s="5" t="s">
        <v>5</v>
      </c>
      <c r="H9" s="7">
        <v>4</v>
      </c>
      <c r="I9" s="7">
        <v>18</v>
      </c>
      <c r="J9" s="7">
        <v>2</v>
      </c>
      <c r="K9" s="7">
        <v>24</v>
      </c>
      <c r="M9" s="5" t="s">
        <v>5</v>
      </c>
      <c r="N9" s="7">
        <v>4</v>
      </c>
      <c r="O9" s="7">
        <v>2</v>
      </c>
      <c r="P9" s="7">
        <v>18</v>
      </c>
      <c r="Q9" s="7">
        <v>24</v>
      </c>
    </row>
    <row r="10" spans="1:17">
      <c r="A10" s="5" t="s">
        <v>3</v>
      </c>
      <c r="B10" s="7">
        <v>12</v>
      </c>
      <c r="C10" s="7">
        <v>3</v>
      </c>
      <c r="D10" s="7">
        <v>16</v>
      </c>
      <c r="E10" s="7">
        <v>31</v>
      </c>
      <c r="G10" s="5" t="s">
        <v>3</v>
      </c>
      <c r="H10" s="7">
        <v>7</v>
      </c>
      <c r="I10" s="7">
        <v>15</v>
      </c>
      <c r="J10" s="7">
        <v>9</v>
      </c>
      <c r="K10" s="7">
        <v>31</v>
      </c>
      <c r="M10" s="5" t="s">
        <v>3</v>
      </c>
      <c r="N10" s="7">
        <v>12</v>
      </c>
      <c r="O10" s="7">
        <v>3</v>
      </c>
      <c r="P10" s="7">
        <v>16</v>
      </c>
      <c r="Q10" s="7">
        <v>31</v>
      </c>
    </row>
    <row r="11" spans="1:17">
      <c r="A11" s="5" t="s">
        <v>10</v>
      </c>
      <c r="B11" s="7">
        <v>10</v>
      </c>
      <c r="C11" s="7">
        <v>4</v>
      </c>
      <c r="D11" s="7">
        <v>6</v>
      </c>
      <c r="E11" s="7">
        <v>20</v>
      </c>
      <c r="G11" s="5" t="s">
        <v>10</v>
      </c>
      <c r="H11" s="7">
        <v>1</v>
      </c>
      <c r="I11" s="7">
        <v>18</v>
      </c>
      <c r="J11" s="7">
        <v>1</v>
      </c>
      <c r="K11" s="7">
        <v>20</v>
      </c>
      <c r="M11" s="5" t="s">
        <v>10</v>
      </c>
      <c r="N11" s="7">
        <v>10</v>
      </c>
      <c r="O11" s="7">
        <v>4</v>
      </c>
      <c r="P11" s="7">
        <v>6</v>
      </c>
      <c r="Q11" s="7">
        <v>20</v>
      </c>
    </row>
    <row r="12" spans="1:17">
      <c r="A12" s="5" t="s">
        <v>11</v>
      </c>
      <c r="B12" s="7">
        <v>10</v>
      </c>
      <c r="C12" s="7">
        <v>1</v>
      </c>
      <c r="D12" s="7">
        <v>11</v>
      </c>
      <c r="E12" s="7">
        <v>22</v>
      </c>
      <c r="G12" s="5" t="s">
        <v>11</v>
      </c>
      <c r="H12" s="7">
        <v>1</v>
      </c>
      <c r="I12" s="7">
        <v>21</v>
      </c>
      <c r="J12" s="7"/>
      <c r="K12" s="7">
        <v>22</v>
      </c>
      <c r="M12" s="5" t="s">
        <v>11</v>
      </c>
      <c r="N12" s="7">
        <v>10</v>
      </c>
      <c r="O12" s="7">
        <v>1</v>
      </c>
      <c r="P12" s="7">
        <v>11</v>
      </c>
      <c r="Q12" s="7">
        <v>22</v>
      </c>
    </row>
    <row r="13" spans="1:17">
      <c r="A13" s="5" t="s">
        <v>9</v>
      </c>
      <c r="B13" s="7">
        <v>11</v>
      </c>
      <c r="C13" s="7">
        <v>9</v>
      </c>
      <c r="D13" s="7">
        <v>7</v>
      </c>
      <c r="E13" s="7">
        <v>27</v>
      </c>
      <c r="G13" s="5" t="s">
        <v>9</v>
      </c>
      <c r="H13" s="7">
        <v>4</v>
      </c>
      <c r="I13" s="7">
        <v>19</v>
      </c>
      <c r="J13" s="7">
        <v>4</v>
      </c>
      <c r="K13" s="7">
        <v>27</v>
      </c>
      <c r="M13" s="5" t="s">
        <v>9</v>
      </c>
      <c r="N13" s="7">
        <v>11</v>
      </c>
      <c r="O13" s="7">
        <v>9</v>
      </c>
      <c r="P13" s="7">
        <v>7</v>
      </c>
      <c r="Q13" s="7">
        <v>27</v>
      </c>
    </row>
    <row r="14" spans="1:17">
      <c r="A14" s="5" t="s">
        <v>7</v>
      </c>
      <c r="B14" s="7">
        <v>9</v>
      </c>
      <c r="C14" s="7">
        <v>1</v>
      </c>
      <c r="D14" s="7">
        <v>13</v>
      </c>
      <c r="E14" s="7">
        <v>23</v>
      </c>
      <c r="G14" s="5" t="s">
        <v>7</v>
      </c>
      <c r="H14" s="7">
        <v>1</v>
      </c>
      <c r="I14" s="7">
        <v>22</v>
      </c>
      <c r="J14" s="7"/>
      <c r="K14" s="7">
        <v>23</v>
      </c>
      <c r="M14" s="5" t="s">
        <v>7</v>
      </c>
      <c r="N14" s="7">
        <v>9</v>
      </c>
      <c r="O14" s="7">
        <v>1</v>
      </c>
      <c r="P14" s="7">
        <v>13</v>
      </c>
      <c r="Q14" s="7">
        <v>23</v>
      </c>
    </row>
    <row r="15" spans="1:17">
      <c r="A15" s="5" t="s">
        <v>8</v>
      </c>
      <c r="B15" s="7"/>
      <c r="C15" s="7">
        <v>1</v>
      </c>
      <c r="D15" s="7">
        <v>22</v>
      </c>
      <c r="E15" s="7">
        <v>23</v>
      </c>
      <c r="G15" s="5" t="s">
        <v>8</v>
      </c>
      <c r="H15" s="7">
        <v>1</v>
      </c>
      <c r="I15" s="7">
        <v>19</v>
      </c>
      <c r="J15" s="7">
        <v>3</v>
      </c>
      <c r="K15" s="7">
        <v>23</v>
      </c>
      <c r="M15" s="5" t="s">
        <v>8</v>
      </c>
      <c r="N15" s="7"/>
      <c r="O15" s="7">
        <v>1</v>
      </c>
      <c r="P15" s="7">
        <v>22</v>
      </c>
      <c r="Q15" s="7">
        <v>23</v>
      </c>
    </row>
    <row r="16" spans="1:17">
      <c r="A16" s="5" t="s">
        <v>6</v>
      </c>
      <c r="B16" s="7">
        <v>8</v>
      </c>
      <c r="C16" s="7">
        <v>3</v>
      </c>
      <c r="D16" s="7">
        <v>12</v>
      </c>
      <c r="E16" s="7">
        <v>23</v>
      </c>
      <c r="G16" s="5" t="s">
        <v>6</v>
      </c>
      <c r="H16" s="7">
        <v>2</v>
      </c>
      <c r="I16" s="7">
        <v>18</v>
      </c>
      <c r="J16" s="7">
        <v>3</v>
      </c>
      <c r="K16" s="7">
        <v>23</v>
      </c>
      <c r="M16" s="5" t="s">
        <v>6</v>
      </c>
      <c r="N16" s="7">
        <v>8</v>
      </c>
      <c r="O16" s="7">
        <v>3</v>
      </c>
      <c r="P16" s="7">
        <v>12</v>
      </c>
      <c r="Q16" s="7">
        <v>23</v>
      </c>
    </row>
    <row r="17" spans="1:17">
      <c r="A17" s="5" t="s">
        <v>51</v>
      </c>
      <c r="B17" s="7">
        <v>82</v>
      </c>
      <c r="C17" s="7">
        <v>34</v>
      </c>
      <c r="D17" s="7">
        <v>158</v>
      </c>
      <c r="E17" s="7">
        <v>274</v>
      </c>
      <c r="G17" s="5" t="s">
        <v>51</v>
      </c>
      <c r="H17" s="7">
        <v>33</v>
      </c>
      <c r="I17" s="7">
        <v>211</v>
      </c>
      <c r="J17" s="7">
        <v>30</v>
      </c>
      <c r="K17" s="7">
        <v>274</v>
      </c>
      <c r="M17" s="5" t="s">
        <v>51</v>
      </c>
      <c r="N17" s="7">
        <v>82</v>
      </c>
      <c r="O17" s="7">
        <v>34</v>
      </c>
      <c r="P17" s="7">
        <v>158</v>
      </c>
      <c r="Q17" s="7">
        <v>274</v>
      </c>
    </row>
    <row r="19" spans="1:17">
      <c r="A19" s="4" t="s">
        <v>55</v>
      </c>
      <c r="B19" s="4" t="s">
        <v>53</v>
      </c>
      <c r="G19" s="4" t="s">
        <v>56</v>
      </c>
      <c r="H19" s="4" t="s">
        <v>53</v>
      </c>
    </row>
    <row r="20" spans="1:17">
      <c r="A20" s="4" t="s">
        <v>50</v>
      </c>
      <c r="B20" t="s">
        <v>48</v>
      </c>
      <c r="C20" t="s">
        <v>49</v>
      </c>
      <c r="D20" t="s">
        <v>47</v>
      </c>
      <c r="E20" t="s">
        <v>51</v>
      </c>
      <c r="F20" s="4"/>
      <c r="G20" s="4" t="s">
        <v>50</v>
      </c>
      <c r="H20" t="s">
        <v>48</v>
      </c>
      <c r="I20" t="s">
        <v>49</v>
      </c>
      <c r="J20" t="s">
        <v>47</v>
      </c>
      <c r="K20" t="s">
        <v>51</v>
      </c>
    </row>
    <row r="21" spans="1:17">
      <c r="A21" s="5" t="s">
        <v>13</v>
      </c>
      <c r="B21" s="7"/>
      <c r="C21" s="7">
        <v>5</v>
      </c>
      <c r="D21" s="7">
        <v>16</v>
      </c>
      <c r="E21" s="7">
        <v>21</v>
      </c>
      <c r="G21" s="5" t="s">
        <v>13</v>
      </c>
      <c r="H21" s="7">
        <v>4</v>
      </c>
      <c r="I21" s="7">
        <v>15</v>
      </c>
      <c r="J21" s="7">
        <v>2</v>
      </c>
      <c r="K21" s="7">
        <v>21</v>
      </c>
    </row>
    <row r="22" spans="1:17">
      <c r="A22" s="5" t="s">
        <v>14</v>
      </c>
      <c r="B22" s="7">
        <v>1</v>
      </c>
      <c r="C22" s="7">
        <v>1</v>
      </c>
      <c r="D22" s="7">
        <v>19</v>
      </c>
      <c r="E22" s="7">
        <v>21</v>
      </c>
      <c r="G22" s="5" t="s">
        <v>14</v>
      </c>
      <c r="H22" s="7">
        <v>7</v>
      </c>
      <c r="I22" s="7">
        <v>14</v>
      </c>
      <c r="J22" s="7"/>
      <c r="K22" s="7">
        <v>21</v>
      </c>
    </row>
    <row r="23" spans="1:17">
      <c r="A23" s="5" t="s">
        <v>12</v>
      </c>
      <c r="B23" s="7"/>
      <c r="C23" s="7">
        <v>1</v>
      </c>
      <c r="D23" s="7">
        <v>20</v>
      </c>
      <c r="E23" s="7">
        <v>21</v>
      </c>
      <c r="G23" s="5" t="s">
        <v>12</v>
      </c>
      <c r="H23" s="7">
        <v>3</v>
      </c>
      <c r="I23" s="7">
        <v>7</v>
      </c>
      <c r="J23" s="7">
        <v>11</v>
      </c>
      <c r="K23" s="7">
        <v>21</v>
      </c>
    </row>
    <row r="24" spans="1:17">
      <c r="A24" s="5" t="s">
        <v>4</v>
      </c>
      <c r="B24" s="7"/>
      <c r="C24" s="7">
        <v>5</v>
      </c>
      <c r="D24" s="7">
        <v>13</v>
      </c>
      <c r="E24" s="7">
        <v>18</v>
      </c>
      <c r="G24" s="5" t="s">
        <v>4</v>
      </c>
      <c r="H24" s="7">
        <v>2</v>
      </c>
      <c r="I24" s="7">
        <v>11</v>
      </c>
      <c r="J24" s="7">
        <v>5</v>
      </c>
      <c r="K24" s="7">
        <v>18</v>
      </c>
    </row>
    <row r="25" spans="1:17">
      <c r="A25" s="5" t="s">
        <v>5</v>
      </c>
      <c r="B25" s="7"/>
      <c r="C25" s="7">
        <v>2</v>
      </c>
      <c r="D25" s="7">
        <v>22</v>
      </c>
      <c r="E25" s="7">
        <v>24</v>
      </c>
      <c r="G25" s="5" t="s">
        <v>5</v>
      </c>
      <c r="H25" s="7">
        <v>8</v>
      </c>
      <c r="I25" s="7">
        <v>6</v>
      </c>
      <c r="J25" s="7">
        <v>10</v>
      </c>
      <c r="K25" s="7">
        <v>24</v>
      </c>
    </row>
    <row r="26" spans="1:17">
      <c r="A26" s="5" t="s">
        <v>3</v>
      </c>
      <c r="B26" s="7">
        <v>1</v>
      </c>
      <c r="C26" s="7">
        <v>6</v>
      </c>
      <c r="D26" s="7">
        <v>24</v>
      </c>
      <c r="E26" s="7">
        <v>31</v>
      </c>
      <c r="G26" s="5" t="s">
        <v>3</v>
      </c>
      <c r="H26" s="7">
        <v>4</v>
      </c>
      <c r="I26" s="7">
        <v>12</v>
      </c>
      <c r="J26" s="7">
        <v>15</v>
      </c>
      <c r="K26" s="7">
        <v>31</v>
      </c>
    </row>
    <row r="27" spans="1:17">
      <c r="A27" s="5" t="s">
        <v>10</v>
      </c>
      <c r="B27" s="7">
        <v>1</v>
      </c>
      <c r="C27" s="7">
        <v>5</v>
      </c>
      <c r="D27" s="7">
        <v>14</v>
      </c>
      <c r="E27" s="7">
        <v>20</v>
      </c>
      <c r="G27" s="5" t="s">
        <v>10</v>
      </c>
      <c r="H27" s="7">
        <v>5</v>
      </c>
      <c r="I27" s="7">
        <v>10</v>
      </c>
      <c r="J27" s="7">
        <v>5</v>
      </c>
      <c r="K27" s="7">
        <v>20</v>
      </c>
    </row>
    <row r="28" spans="1:17">
      <c r="A28" s="5" t="s">
        <v>11</v>
      </c>
      <c r="B28" s="7"/>
      <c r="C28" s="7">
        <v>5</v>
      </c>
      <c r="D28" s="7">
        <v>17</v>
      </c>
      <c r="E28" s="7">
        <v>22</v>
      </c>
      <c r="G28" s="5" t="s">
        <v>11</v>
      </c>
      <c r="H28" s="7">
        <v>3</v>
      </c>
      <c r="I28" s="7">
        <v>17</v>
      </c>
      <c r="J28" s="7">
        <v>2</v>
      </c>
      <c r="K28" s="7">
        <v>22</v>
      </c>
    </row>
    <row r="29" spans="1:17">
      <c r="A29" s="5" t="s">
        <v>9</v>
      </c>
      <c r="B29" s="7">
        <v>6</v>
      </c>
      <c r="C29" s="7">
        <v>8</v>
      </c>
      <c r="D29" s="7">
        <v>13</v>
      </c>
      <c r="E29" s="7">
        <v>27</v>
      </c>
      <c r="G29" s="5" t="s">
        <v>9</v>
      </c>
      <c r="H29" s="7">
        <v>5</v>
      </c>
      <c r="I29" s="7">
        <v>19</v>
      </c>
      <c r="J29" s="7">
        <v>3</v>
      </c>
      <c r="K29" s="7">
        <v>27</v>
      </c>
    </row>
    <row r="30" spans="1:17">
      <c r="A30" s="5" t="s">
        <v>7</v>
      </c>
      <c r="B30" s="7">
        <v>1</v>
      </c>
      <c r="C30" s="7">
        <v>3</v>
      </c>
      <c r="D30" s="7">
        <v>19</v>
      </c>
      <c r="E30" s="7">
        <v>23</v>
      </c>
      <c r="G30" s="5" t="s">
        <v>7</v>
      </c>
      <c r="H30" s="7">
        <v>1</v>
      </c>
      <c r="I30" s="7">
        <v>20</v>
      </c>
      <c r="J30" s="7">
        <v>2</v>
      </c>
      <c r="K30" s="7">
        <v>23</v>
      </c>
    </row>
    <row r="31" spans="1:17">
      <c r="A31" s="5" t="s">
        <v>8</v>
      </c>
      <c r="B31" s="7"/>
      <c r="C31" s="7"/>
      <c r="D31" s="7">
        <v>23</v>
      </c>
      <c r="E31" s="7">
        <v>23</v>
      </c>
      <c r="G31" s="5" t="s">
        <v>8</v>
      </c>
      <c r="H31" s="7">
        <v>8</v>
      </c>
      <c r="I31" s="7">
        <v>7</v>
      </c>
      <c r="J31" s="7">
        <v>8</v>
      </c>
      <c r="K31" s="7">
        <v>23</v>
      </c>
    </row>
    <row r="32" spans="1:17">
      <c r="A32" s="5" t="s">
        <v>6</v>
      </c>
      <c r="B32" s="7">
        <v>1</v>
      </c>
      <c r="C32" s="7">
        <v>5</v>
      </c>
      <c r="D32" s="7">
        <v>17</v>
      </c>
      <c r="E32" s="7">
        <v>23</v>
      </c>
      <c r="G32" s="5" t="s">
        <v>6</v>
      </c>
      <c r="H32" s="7"/>
      <c r="I32" s="7">
        <v>23</v>
      </c>
      <c r="J32" s="7"/>
      <c r="K32" s="7">
        <v>23</v>
      </c>
    </row>
    <row r="33" spans="1:33">
      <c r="A33" s="5" t="s">
        <v>51</v>
      </c>
      <c r="B33" s="7">
        <v>11</v>
      </c>
      <c r="C33" s="7">
        <v>46</v>
      </c>
      <c r="D33" s="7">
        <v>217</v>
      </c>
      <c r="E33" s="7">
        <v>274</v>
      </c>
      <c r="G33" s="5" t="s">
        <v>51</v>
      </c>
      <c r="H33" s="7">
        <v>50</v>
      </c>
      <c r="I33" s="7">
        <v>161</v>
      </c>
      <c r="J33" s="7">
        <v>63</v>
      </c>
      <c r="K33" s="7">
        <v>274</v>
      </c>
    </row>
    <row r="36" spans="1:33"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453F-C49D-4DE6-8836-BF8DAB67FE13}">
  <dimension ref="A3:L63"/>
  <sheetViews>
    <sheetView workbookViewId="0">
      <selection activeCell="F20" sqref="F20"/>
    </sheetView>
  </sheetViews>
  <sheetFormatPr defaultRowHeight="14.4"/>
  <cols>
    <col min="1" max="1" width="25.88671875" bestFit="1" customWidth="1"/>
    <col min="2" max="2" width="15.5546875" bestFit="1" customWidth="1"/>
    <col min="3" max="3" width="8.5546875" bestFit="1" customWidth="1"/>
    <col min="4" max="4" width="8.44140625" bestFit="1" customWidth="1"/>
    <col min="5" max="6" width="10.77734375" bestFit="1" customWidth="1"/>
    <col min="7" max="7" width="2.88671875" customWidth="1"/>
    <col min="8" max="8" width="24.109375" bestFit="1" customWidth="1"/>
    <col min="9" max="9" width="15.5546875" bestFit="1" customWidth="1"/>
    <col min="10" max="10" width="8.5546875" bestFit="1" customWidth="1"/>
    <col min="11" max="11" width="8.44140625" bestFit="1" customWidth="1"/>
    <col min="12" max="13" width="10.77734375" bestFit="1" customWidth="1"/>
  </cols>
  <sheetData>
    <row r="3" spans="1:12">
      <c r="A3" s="4" t="s">
        <v>358</v>
      </c>
      <c r="B3" s="4" t="s">
        <v>53</v>
      </c>
      <c r="H3" s="4" t="s">
        <v>360</v>
      </c>
      <c r="I3" s="4" t="s">
        <v>53</v>
      </c>
    </row>
    <row r="4" spans="1:12">
      <c r="A4" s="4" t="s">
        <v>50</v>
      </c>
      <c r="B4" t="s">
        <v>48</v>
      </c>
      <c r="C4" t="s">
        <v>49</v>
      </c>
      <c r="D4" t="s">
        <v>47</v>
      </c>
      <c r="E4" t="s">
        <v>51</v>
      </c>
      <c r="H4" s="4" t="s">
        <v>50</v>
      </c>
      <c r="I4" t="s">
        <v>48</v>
      </c>
      <c r="J4" t="s">
        <v>49</v>
      </c>
      <c r="K4" t="s">
        <v>47</v>
      </c>
      <c r="L4" t="s">
        <v>51</v>
      </c>
    </row>
    <row r="5" spans="1:12">
      <c r="A5" s="5" t="s">
        <v>61</v>
      </c>
      <c r="B5" s="7">
        <v>11</v>
      </c>
      <c r="C5" s="7">
        <v>3</v>
      </c>
      <c r="D5" s="7">
        <v>49</v>
      </c>
      <c r="E5" s="7">
        <v>63</v>
      </c>
      <c r="H5" s="5" t="s">
        <v>61</v>
      </c>
      <c r="I5" s="7">
        <v>12</v>
      </c>
      <c r="J5" s="7">
        <v>44</v>
      </c>
      <c r="K5" s="7">
        <v>7</v>
      </c>
      <c r="L5" s="7">
        <v>63</v>
      </c>
    </row>
    <row r="6" spans="1:12">
      <c r="A6" s="8" t="s">
        <v>58</v>
      </c>
      <c r="B6" s="7">
        <v>2</v>
      </c>
      <c r="C6" s="7">
        <v>1</v>
      </c>
      <c r="D6" s="7">
        <v>18</v>
      </c>
      <c r="E6" s="7">
        <v>21</v>
      </c>
      <c r="H6" s="8" t="s">
        <v>58</v>
      </c>
      <c r="I6" s="7">
        <v>4</v>
      </c>
      <c r="J6" s="7">
        <v>14</v>
      </c>
      <c r="K6" s="7">
        <v>3</v>
      </c>
      <c r="L6" s="7">
        <v>21</v>
      </c>
    </row>
    <row r="7" spans="1:12">
      <c r="A7" s="8" t="s">
        <v>60</v>
      </c>
      <c r="B7" s="7">
        <v>3</v>
      </c>
      <c r="C7" s="7"/>
      <c r="D7" s="7">
        <v>18</v>
      </c>
      <c r="E7" s="7">
        <v>21</v>
      </c>
      <c r="H7" s="8" t="s">
        <v>60</v>
      </c>
      <c r="I7" s="7">
        <v>7</v>
      </c>
      <c r="J7" s="7">
        <v>13</v>
      </c>
      <c r="K7" s="7">
        <v>1</v>
      </c>
      <c r="L7" s="7">
        <v>21</v>
      </c>
    </row>
    <row r="8" spans="1:12">
      <c r="A8" s="8" t="s">
        <v>59</v>
      </c>
      <c r="B8" s="7">
        <v>6</v>
      </c>
      <c r="C8" s="7">
        <v>2</v>
      </c>
      <c r="D8" s="7">
        <v>13</v>
      </c>
      <c r="E8" s="7">
        <v>21</v>
      </c>
      <c r="H8" s="8" t="s">
        <v>59</v>
      </c>
      <c r="I8" s="7">
        <v>1</v>
      </c>
      <c r="J8" s="7">
        <v>17</v>
      </c>
      <c r="K8" s="7">
        <v>3</v>
      </c>
      <c r="L8" s="7">
        <v>21</v>
      </c>
    </row>
    <row r="9" spans="1:12">
      <c r="A9" s="5" t="s">
        <v>62</v>
      </c>
      <c r="B9" s="7">
        <v>23</v>
      </c>
      <c r="C9" s="7">
        <v>12</v>
      </c>
      <c r="D9" s="7">
        <v>38</v>
      </c>
      <c r="E9" s="7">
        <v>73</v>
      </c>
      <c r="H9" s="5" t="s">
        <v>62</v>
      </c>
      <c r="I9" s="7">
        <v>11</v>
      </c>
      <c r="J9" s="7">
        <v>50</v>
      </c>
      <c r="K9" s="7">
        <v>12</v>
      </c>
      <c r="L9" s="7">
        <v>73</v>
      </c>
    </row>
    <row r="10" spans="1:12">
      <c r="A10" s="8" t="s">
        <v>58</v>
      </c>
      <c r="B10" s="7">
        <v>12</v>
      </c>
      <c r="C10" s="7">
        <v>3</v>
      </c>
      <c r="D10" s="7">
        <v>16</v>
      </c>
      <c r="E10" s="7">
        <v>31</v>
      </c>
      <c r="H10" s="8" t="s">
        <v>58</v>
      </c>
      <c r="I10" s="7">
        <v>7</v>
      </c>
      <c r="J10" s="7">
        <v>15</v>
      </c>
      <c r="K10" s="7">
        <v>9</v>
      </c>
      <c r="L10" s="7">
        <v>31</v>
      </c>
    </row>
    <row r="11" spans="1:12">
      <c r="A11" s="8" t="s">
        <v>60</v>
      </c>
      <c r="B11" s="7">
        <v>7</v>
      </c>
      <c r="C11" s="7">
        <v>7</v>
      </c>
      <c r="D11" s="7">
        <v>4</v>
      </c>
      <c r="E11" s="7">
        <v>18</v>
      </c>
      <c r="H11" s="8" t="s">
        <v>60</v>
      </c>
      <c r="I11" s="7"/>
      <c r="J11" s="7">
        <v>17</v>
      </c>
      <c r="K11" s="7">
        <v>1</v>
      </c>
      <c r="L11" s="7">
        <v>18</v>
      </c>
    </row>
    <row r="12" spans="1:12">
      <c r="A12" s="8" t="s">
        <v>59</v>
      </c>
      <c r="B12" s="7">
        <v>4</v>
      </c>
      <c r="C12" s="7">
        <v>2</v>
      </c>
      <c r="D12" s="7">
        <v>18</v>
      </c>
      <c r="E12" s="7">
        <v>24</v>
      </c>
      <c r="H12" s="8" t="s">
        <v>59</v>
      </c>
      <c r="I12" s="7">
        <v>4</v>
      </c>
      <c r="J12" s="7">
        <v>18</v>
      </c>
      <c r="K12" s="7">
        <v>2</v>
      </c>
      <c r="L12" s="7">
        <v>24</v>
      </c>
    </row>
    <row r="13" spans="1:12">
      <c r="A13" s="5" t="s">
        <v>63</v>
      </c>
      <c r="B13" s="7">
        <v>31</v>
      </c>
      <c r="C13" s="7">
        <v>14</v>
      </c>
      <c r="D13" s="7">
        <v>24</v>
      </c>
      <c r="E13" s="7">
        <v>69</v>
      </c>
      <c r="H13" s="5" t="s">
        <v>63</v>
      </c>
      <c r="I13" s="7">
        <v>6</v>
      </c>
      <c r="J13" s="7">
        <v>58</v>
      </c>
      <c r="K13" s="7">
        <v>5</v>
      </c>
      <c r="L13" s="7">
        <v>69</v>
      </c>
    </row>
    <row r="14" spans="1:12">
      <c r="A14" s="8" t="s">
        <v>58</v>
      </c>
      <c r="B14" s="7">
        <v>11</v>
      </c>
      <c r="C14" s="7">
        <v>9</v>
      </c>
      <c r="D14" s="7">
        <v>7</v>
      </c>
      <c r="E14" s="7">
        <v>27</v>
      </c>
      <c r="H14" s="8" t="s">
        <v>58</v>
      </c>
      <c r="I14" s="7">
        <v>4</v>
      </c>
      <c r="J14" s="7">
        <v>19</v>
      </c>
      <c r="K14" s="7">
        <v>4</v>
      </c>
      <c r="L14" s="7">
        <v>27</v>
      </c>
    </row>
    <row r="15" spans="1:12">
      <c r="A15" s="8" t="s">
        <v>60</v>
      </c>
      <c r="B15" s="7">
        <v>10</v>
      </c>
      <c r="C15" s="7">
        <v>4</v>
      </c>
      <c r="D15" s="7">
        <v>6</v>
      </c>
      <c r="E15" s="7">
        <v>20</v>
      </c>
      <c r="H15" s="8" t="s">
        <v>60</v>
      </c>
      <c r="I15" s="7">
        <v>1</v>
      </c>
      <c r="J15" s="7">
        <v>18</v>
      </c>
      <c r="K15" s="7">
        <v>1</v>
      </c>
      <c r="L15" s="7">
        <v>20</v>
      </c>
    </row>
    <row r="16" spans="1:12">
      <c r="A16" s="8" t="s">
        <v>59</v>
      </c>
      <c r="B16" s="7">
        <v>10</v>
      </c>
      <c r="C16" s="7">
        <v>1</v>
      </c>
      <c r="D16" s="7">
        <v>11</v>
      </c>
      <c r="E16" s="7">
        <v>22</v>
      </c>
      <c r="H16" s="8" t="s">
        <v>59</v>
      </c>
      <c r="I16" s="7">
        <v>1</v>
      </c>
      <c r="J16" s="7">
        <v>21</v>
      </c>
      <c r="K16" s="7"/>
      <c r="L16" s="7">
        <v>22</v>
      </c>
    </row>
    <row r="17" spans="1:12">
      <c r="A17" s="5" t="s">
        <v>64</v>
      </c>
      <c r="B17" s="7">
        <v>17</v>
      </c>
      <c r="C17" s="7">
        <v>5</v>
      </c>
      <c r="D17" s="7">
        <v>47</v>
      </c>
      <c r="E17" s="7">
        <v>69</v>
      </c>
      <c r="H17" s="5" t="s">
        <v>64</v>
      </c>
      <c r="I17" s="7">
        <v>4</v>
      </c>
      <c r="J17" s="7">
        <v>59</v>
      </c>
      <c r="K17" s="7">
        <v>6</v>
      </c>
      <c r="L17" s="7">
        <v>69</v>
      </c>
    </row>
    <row r="18" spans="1:12">
      <c r="A18" s="8" t="s">
        <v>58</v>
      </c>
      <c r="B18" s="7">
        <v>8</v>
      </c>
      <c r="C18" s="7">
        <v>3</v>
      </c>
      <c r="D18" s="7">
        <v>12</v>
      </c>
      <c r="E18" s="7">
        <v>23</v>
      </c>
      <c r="H18" s="8" t="s">
        <v>58</v>
      </c>
      <c r="I18" s="7">
        <v>2</v>
      </c>
      <c r="J18" s="7">
        <v>18</v>
      </c>
      <c r="K18" s="7">
        <v>3</v>
      </c>
      <c r="L18" s="7">
        <v>23</v>
      </c>
    </row>
    <row r="19" spans="1:12">
      <c r="A19" s="8" t="s">
        <v>60</v>
      </c>
      <c r="B19" s="7">
        <v>9</v>
      </c>
      <c r="C19" s="7">
        <v>1</v>
      </c>
      <c r="D19" s="7">
        <v>13</v>
      </c>
      <c r="E19" s="7">
        <v>23</v>
      </c>
      <c r="H19" s="8" t="s">
        <v>60</v>
      </c>
      <c r="I19" s="7">
        <v>1</v>
      </c>
      <c r="J19" s="7">
        <v>22</v>
      </c>
      <c r="K19" s="7"/>
      <c r="L19" s="7">
        <v>23</v>
      </c>
    </row>
    <row r="20" spans="1:12">
      <c r="A20" s="8" t="s">
        <v>59</v>
      </c>
      <c r="B20" s="7"/>
      <c r="C20" s="7">
        <v>1</v>
      </c>
      <c r="D20" s="7">
        <v>22</v>
      </c>
      <c r="E20" s="7">
        <v>23</v>
      </c>
      <c r="H20" s="8" t="s">
        <v>59</v>
      </c>
      <c r="I20" s="7">
        <v>1</v>
      </c>
      <c r="J20" s="7">
        <v>19</v>
      </c>
      <c r="K20" s="7">
        <v>3</v>
      </c>
      <c r="L20" s="7">
        <v>23</v>
      </c>
    </row>
    <row r="21" spans="1:12">
      <c r="A21" s="5" t="s">
        <v>51</v>
      </c>
      <c r="B21" s="7">
        <v>82</v>
      </c>
      <c r="C21" s="7">
        <v>34</v>
      </c>
      <c r="D21" s="7">
        <v>158</v>
      </c>
      <c r="E21" s="7">
        <v>274</v>
      </c>
      <c r="H21" s="5" t="s">
        <v>51</v>
      </c>
      <c r="I21" s="7">
        <v>33</v>
      </c>
      <c r="J21" s="7">
        <v>211</v>
      </c>
      <c r="K21" s="7">
        <v>30</v>
      </c>
      <c r="L21" s="7">
        <v>274</v>
      </c>
    </row>
    <row r="24" spans="1:12">
      <c r="A24" s="4" t="s">
        <v>361</v>
      </c>
      <c r="B24" s="4" t="s">
        <v>53</v>
      </c>
    </row>
    <row r="25" spans="1:12">
      <c r="A25" s="4" t="s">
        <v>50</v>
      </c>
      <c r="B25" t="s">
        <v>48</v>
      </c>
      <c r="C25" t="s">
        <v>49</v>
      </c>
      <c r="D25" t="s">
        <v>47</v>
      </c>
      <c r="E25" t="s">
        <v>51</v>
      </c>
      <c r="F25" s="4"/>
      <c r="G25" s="4"/>
      <c r="H25" s="4" t="s">
        <v>362</v>
      </c>
      <c r="I25" s="4" t="s">
        <v>53</v>
      </c>
    </row>
    <row r="26" spans="1:12">
      <c r="A26" s="5" t="s">
        <v>61</v>
      </c>
      <c r="B26" s="7">
        <v>1</v>
      </c>
      <c r="C26" s="7">
        <v>7</v>
      </c>
      <c r="D26" s="7">
        <v>55</v>
      </c>
      <c r="E26" s="7">
        <v>63</v>
      </c>
      <c r="H26" s="4" t="s">
        <v>50</v>
      </c>
      <c r="I26" t="s">
        <v>48</v>
      </c>
      <c r="J26" t="s">
        <v>49</v>
      </c>
      <c r="K26" t="s">
        <v>47</v>
      </c>
      <c r="L26" t="s">
        <v>51</v>
      </c>
    </row>
    <row r="27" spans="1:12">
      <c r="A27" s="8" t="s">
        <v>58</v>
      </c>
      <c r="B27" s="7"/>
      <c r="C27" s="7">
        <v>1</v>
      </c>
      <c r="D27" s="7">
        <v>20</v>
      </c>
      <c r="E27" s="7">
        <v>21</v>
      </c>
      <c r="H27" s="5" t="s">
        <v>61</v>
      </c>
      <c r="I27" s="7">
        <v>14</v>
      </c>
      <c r="J27" s="7">
        <v>36</v>
      </c>
      <c r="K27" s="7">
        <v>13</v>
      </c>
      <c r="L27" s="7">
        <v>63</v>
      </c>
    </row>
    <row r="28" spans="1:12">
      <c r="A28" s="8" t="s">
        <v>60</v>
      </c>
      <c r="B28" s="7"/>
      <c r="C28" s="7">
        <v>5</v>
      </c>
      <c r="D28" s="7">
        <v>16</v>
      </c>
      <c r="E28" s="7">
        <v>21</v>
      </c>
      <c r="H28" s="8" t="s">
        <v>58</v>
      </c>
      <c r="I28" s="7">
        <v>3</v>
      </c>
      <c r="J28" s="7">
        <v>7</v>
      </c>
      <c r="K28" s="7">
        <v>11</v>
      </c>
      <c r="L28" s="7">
        <v>21</v>
      </c>
    </row>
    <row r="29" spans="1:12">
      <c r="A29" s="8" t="s">
        <v>59</v>
      </c>
      <c r="B29" s="7">
        <v>1</v>
      </c>
      <c r="C29" s="7">
        <v>1</v>
      </c>
      <c r="D29" s="7">
        <v>19</v>
      </c>
      <c r="E29" s="7">
        <v>21</v>
      </c>
      <c r="H29" s="8" t="s">
        <v>60</v>
      </c>
      <c r="I29" s="7">
        <v>4</v>
      </c>
      <c r="J29" s="7">
        <v>15</v>
      </c>
      <c r="K29" s="7">
        <v>2</v>
      </c>
      <c r="L29" s="7">
        <v>21</v>
      </c>
    </row>
    <row r="30" spans="1:12">
      <c r="A30" s="5" t="s">
        <v>62</v>
      </c>
      <c r="B30" s="7">
        <v>1</v>
      </c>
      <c r="C30" s="7">
        <v>13</v>
      </c>
      <c r="D30" s="7">
        <v>59</v>
      </c>
      <c r="E30" s="7">
        <v>73</v>
      </c>
      <c r="H30" s="8" t="s">
        <v>59</v>
      </c>
      <c r="I30" s="7">
        <v>7</v>
      </c>
      <c r="J30" s="7">
        <v>14</v>
      </c>
      <c r="K30" s="7"/>
      <c r="L30" s="7">
        <v>21</v>
      </c>
    </row>
    <row r="31" spans="1:12">
      <c r="A31" s="8" t="s">
        <v>58</v>
      </c>
      <c r="B31" s="7">
        <v>1</v>
      </c>
      <c r="C31" s="7">
        <v>6</v>
      </c>
      <c r="D31" s="7">
        <v>24</v>
      </c>
      <c r="E31" s="7">
        <v>31</v>
      </c>
      <c r="H31" s="5" t="s">
        <v>62</v>
      </c>
      <c r="I31" s="7">
        <v>14</v>
      </c>
      <c r="J31" s="7">
        <v>29</v>
      </c>
      <c r="K31" s="7">
        <v>30</v>
      </c>
      <c r="L31" s="7">
        <v>73</v>
      </c>
    </row>
    <row r="32" spans="1:12">
      <c r="A32" s="8" t="s">
        <v>60</v>
      </c>
      <c r="B32" s="7"/>
      <c r="C32" s="7">
        <v>5</v>
      </c>
      <c r="D32" s="7">
        <v>13</v>
      </c>
      <c r="E32" s="7">
        <v>18</v>
      </c>
      <c r="H32" s="8" t="s">
        <v>58</v>
      </c>
      <c r="I32" s="7">
        <v>4</v>
      </c>
      <c r="J32" s="7">
        <v>12</v>
      </c>
      <c r="K32" s="7">
        <v>15</v>
      </c>
      <c r="L32" s="7">
        <v>31</v>
      </c>
    </row>
    <row r="33" spans="1:12">
      <c r="A33" s="8" t="s">
        <v>59</v>
      </c>
      <c r="B33" s="7"/>
      <c r="C33" s="7">
        <v>2</v>
      </c>
      <c r="D33" s="7">
        <v>22</v>
      </c>
      <c r="E33" s="7">
        <v>24</v>
      </c>
      <c r="H33" s="8" t="s">
        <v>60</v>
      </c>
      <c r="I33" s="7">
        <v>2</v>
      </c>
      <c r="J33" s="7">
        <v>11</v>
      </c>
      <c r="K33" s="7">
        <v>5</v>
      </c>
      <c r="L33" s="7">
        <v>18</v>
      </c>
    </row>
    <row r="34" spans="1:12">
      <c r="A34" s="5" t="s">
        <v>63</v>
      </c>
      <c r="B34" s="7">
        <v>7</v>
      </c>
      <c r="C34" s="7">
        <v>18</v>
      </c>
      <c r="D34" s="7">
        <v>44</v>
      </c>
      <c r="E34" s="7">
        <v>69</v>
      </c>
      <c r="H34" s="8" t="s">
        <v>59</v>
      </c>
      <c r="I34" s="7">
        <v>8</v>
      </c>
      <c r="J34" s="7">
        <v>6</v>
      </c>
      <c r="K34" s="7">
        <v>10</v>
      </c>
      <c r="L34" s="7">
        <v>24</v>
      </c>
    </row>
    <row r="35" spans="1:12">
      <c r="A35" s="8" t="s">
        <v>58</v>
      </c>
      <c r="B35" s="7">
        <v>6</v>
      </c>
      <c r="C35" s="7">
        <v>8</v>
      </c>
      <c r="D35" s="7">
        <v>13</v>
      </c>
      <c r="E35" s="7">
        <v>27</v>
      </c>
      <c r="H35" s="5" t="s">
        <v>63</v>
      </c>
      <c r="I35" s="7">
        <v>13</v>
      </c>
      <c r="J35" s="7">
        <v>46</v>
      </c>
      <c r="K35" s="7">
        <v>10</v>
      </c>
      <c r="L35" s="7">
        <v>69</v>
      </c>
    </row>
    <row r="36" spans="1:12">
      <c r="A36" s="8" t="s">
        <v>60</v>
      </c>
      <c r="B36" s="7">
        <v>1</v>
      </c>
      <c r="C36" s="7">
        <v>5</v>
      </c>
      <c r="D36" s="7">
        <v>14</v>
      </c>
      <c r="E36" s="7">
        <v>20</v>
      </c>
      <c r="H36" s="8" t="s">
        <v>58</v>
      </c>
      <c r="I36" s="7">
        <v>5</v>
      </c>
      <c r="J36" s="7">
        <v>19</v>
      </c>
      <c r="K36" s="7">
        <v>3</v>
      </c>
      <c r="L36" s="7">
        <v>27</v>
      </c>
    </row>
    <row r="37" spans="1:12">
      <c r="A37" s="8" t="s">
        <v>59</v>
      </c>
      <c r="B37" s="7"/>
      <c r="C37" s="7">
        <v>5</v>
      </c>
      <c r="D37" s="7">
        <v>17</v>
      </c>
      <c r="E37" s="7">
        <v>22</v>
      </c>
      <c r="H37" s="8" t="s">
        <v>60</v>
      </c>
      <c r="I37" s="7">
        <v>5</v>
      </c>
      <c r="J37" s="7">
        <v>10</v>
      </c>
      <c r="K37" s="7">
        <v>5</v>
      </c>
      <c r="L37" s="7">
        <v>20</v>
      </c>
    </row>
    <row r="38" spans="1:12">
      <c r="A38" s="5" t="s">
        <v>64</v>
      </c>
      <c r="B38" s="7">
        <v>2</v>
      </c>
      <c r="C38" s="7">
        <v>8</v>
      </c>
      <c r="D38" s="7">
        <v>59</v>
      </c>
      <c r="E38" s="7">
        <v>69</v>
      </c>
      <c r="H38" s="8" t="s">
        <v>59</v>
      </c>
      <c r="I38" s="7">
        <v>3</v>
      </c>
      <c r="J38" s="7">
        <v>17</v>
      </c>
      <c r="K38" s="7">
        <v>2</v>
      </c>
      <c r="L38" s="7">
        <v>22</v>
      </c>
    </row>
    <row r="39" spans="1:12">
      <c r="A39" s="8" t="s">
        <v>58</v>
      </c>
      <c r="B39" s="7">
        <v>1</v>
      </c>
      <c r="C39" s="7">
        <v>5</v>
      </c>
      <c r="D39" s="7">
        <v>17</v>
      </c>
      <c r="E39" s="7">
        <v>23</v>
      </c>
      <c r="H39" s="5" t="s">
        <v>64</v>
      </c>
      <c r="I39" s="7">
        <v>9</v>
      </c>
      <c r="J39" s="7">
        <v>50</v>
      </c>
      <c r="K39" s="7">
        <v>10</v>
      </c>
      <c r="L39" s="7">
        <v>69</v>
      </c>
    </row>
    <row r="40" spans="1:12">
      <c r="A40" s="8" t="s">
        <v>60</v>
      </c>
      <c r="B40" s="7">
        <v>1</v>
      </c>
      <c r="C40" s="7">
        <v>3</v>
      </c>
      <c r="D40" s="7">
        <v>19</v>
      </c>
      <c r="E40" s="7">
        <v>23</v>
      </c>
      <c r="H40" s="8" t="s">
        <v>58</v>
      </c>
      <c r="I40" s="7"/>
      <c r="J40" s="7">
        <v>23</v>
      </c>
      <c r="K40" s="7"/>
      <c r="L40" s="7">
        <v>23</v>
      </c>
    </row>
    <row r="41" spans="1:12">
      <c r="A41" s="8" t="s">
        <v>59</v>
      </c>
      <c r="B41" s="7"/>
      <c r="C41" s="7"/>
      <c r="D41" s="7">
        <v>23</v>
      </c>
      <c r="E41" s="7">
        <v>23</v>
      </c>
      <c r="H41" s="8" t="s">
        <v>60</v>
      </c>
      <c r="I41" s="7">
        <v>1</v>
      </c>
      <c r="J41" s="7">
        <v>20</v>
      </c>
      <c r="K41" s="7">
        <v>2</v>
      </c>
      <c r="L41" s="7">
        <v>23</v>
      </c>
    </row>
    <row r="42" spans="1:12">
      <c r="A42" s="5" t="s">
        <v>51</v>
      </c>
      <c r="B42" s="7">
        <v>11</v>
      </c>
      <c r="C42" s="7">
        <v>46</v>
      </c>
      <c r="D42" s="7">
        <v>217</v>
      </c>
      <c r="E42" s="7">
        <v>274</v>
      </c>
      <c r="H42" s="8" t="s">
        <v>59</v>
      </c>
      <c r="I42" s="7">
        <v>8</v>
      </c>
      <c r="J42" s="7">
        <v>7</v>
      </c>
      <c r="K42" s="7">
        <v>8</v>
      </c>
      <c r="L42" s="7">
        <v>23</v>
      </c>
    </row>
    <row r="43" spans="1:12">
      <c r="H43" s="5" t="s">
        <v>51</v>
      </c>
      <c r="I43" s="7">
        <v>50</v>
      </c>
      <c r="J43" s="7">
        <v>161</v>
      </c>
      <c r="K43" s="7">
        <v>63</v>
      </c>
      <c r="L43" s="7">
        <v>274</v>
      </c>
    </row>
    <row r="45" spans="1:12">
      <c r="A45" s="4" t="s">
        <v>359</v>
      </c>
      <c r="B45" s="4" t="s">
        <v>53</v>
      </c>
    </row>
    <row r="46" spans="1:12">
      <c r="A46" s="4" t="s">
        <v>50</v>
      </c>
      <c r="B46" t="s">
        <v>48</v>
      </c>
      <c r="C46" t="s">
        <v>49</v>
      </c>
      <c r="D46" t="s">
        <v>47</v>
      </c>
      <c r="E46" t="s">
        <v>51</v>
      </c>
      <c r="F46" s="4"/>
      <c r="G46" s="4"/>
      <c r="H46" s="4"/>
      <c r="I46" s="4"/>
      <c r="J46" s="4"/>
      <c r="K46" s="4"/>
      <c r="L46" s="4"/>
    </row>
    <row r="47" spans="1:12">
      <c r="A47" s="5" t="s">
        <v>61</v>
      </c>
      <c r="B47" s="7">
        <v>26</v>
      </c>
      <c r="C47" s="7">
        <v>29</v>
      </c>
      <c r="D47" s="7">
        <v>8</v>
      </c>
      <c r="E47" s="7">
        <v>63</v>
      </c>
    </row>
    <row r="48" spans="1:12">
      <c r="A48" s="8" t="s">
        <v>58</v>
      </c>
      <c r="B48" s="7">
        <v>9</v>
      </c>
      <c r="C48" s="7">
        <v>10</v>
      </c>
      <c r="D48" s="7">
        <v>2</v>
      </c>
      <c r="E48" s="7">
        <v>21</v>
      </c>
    </row>
    <row r="49" spans="1:5">
      <c r="A49" s="8" t="s">
        <v>60</v>
      </c>
      <c r="B49" s="7">
        <v>8</v>
      </c>
      <c r="C49" s="7">
        <v>11</v>
      </c>
      <c r="D49" s="7">
        <v>2</v>
      </c>
      <c r="E49" s="7">
        <v>21</v>
      </c>
    </row>
    <row r="50" spans="1:5">
      <c r="A50" s="8" t="s">
        <v>59</v>
      </c>
      <c r="B50" s="7">
        <v>9</v>
      </c>
      <c r="C50" s="7">
        <v>8</v>
      </c>
      <c r="D50" s="7">
        <v>4</v>
      </c>
      <c r="E50" s="7">
        <v>21</v>
      </c>
    </row>
    <row r="51" spans="1:5">
      <c r="A51" s="5" t="s">
        <v>62</v>
      </c>
      <c r="B51" s="7">
        <v>35</v>
      </c>
      <c r="C51" s="7">
        <v>28</v>
      </c>
      <c r="D51" s="7">
        <v>10</v>
      </c>
      <c r="E51" s="7">
        <v>73</v>
      </c>
    </row>
    <row r="52" spans="1:5">
      <c r="A52" s="8" t="s">
        <v>58</v>
      </c>
      <c r="B52" s="7">
        <v>15</v>
      </c>
      <c r="C52" s="7">
        <v>10</v>
      </c>
      <c r="D52" s="7">
        <v>6</v>
      </c>
      <c r="E52" s="7">
        <v>31</v>
      </c>
    </row>
    <row r="53" spans="1:5">
      <c r="A53" s="8" t="s">
        <v>60</v>
      </c>
      <c r="B53" s="7">
        <v>10</v>
      </c>
      <c r="C53" s="7">
        <v>7</v>
      </c>
      <c r="D53" s="7">
        <v>1</v>
      </c>
      <c r="E53" s="7">
        <v>18</v>
      </c>
    </row>
    <row r="54" spans="1:5">
      <c r="A54" s="8" t="s">
        <v>59</v>
      </c>
      <c r="B54" s="7">
        <v>10</v>
      </c>
      <c r="C54" s="7">
        <v>11</v>
      </c>
      <c r="D54" s="7">
        <v>3</v>
      </c>
      <c r="E54" s="7">
        <v>24</v>
      </c>
    </row>
    <row r="55" spans="1:5">
      <c r="A55" s="5" t="s">
        <v>63</v>
      </c>
      <c r="B55" s="7">
        <v>24</v>
      </c>
      <c r="C55" s="7">
        <v>39</v>
      </c>
      <c r="D55" s="7">
        <v>6</v>
      </c>
      <c r="E55" s="7">
        <v>69</v>
      </c>
    </row>
    <row r="56" spans="1:5">
      <c r="A56" s="8" t="s">
        <v>58</v>
      </c>
      <c r="B56" s="7">
        <v>9</v>
      </c>
      <c r="C56" s="7">
        <v>16</v>
      </c>
      <c r="D56" s="7">
        <v>2</v>
      </c>
      <c r="E56" s="7">
        <v>27</v>
      </c>
    </row>
    <row r="57" spans="1:5">
      <c r="A57" s="8" t="s">
        <v>60</v>
      </c>
      <c r="B57" s="7">
        <v>8</v>
      </c>
      <c r="C57" s="7">
        <v>10</v>
      </c>
      <c r="D57" s="7">
        <v>2</v>
      </c>
      <c r="E57" s="7">
        <v>20</v>
      </c>
    </row>
    <row r="58" spans="1:5">
      <c r="A58" s="8" t="s">
        <v>59</v>
      </c>
      <c r="B58" s="7">
        <v>7</v>
      </c>
      <c r="C58" s="7">
        <v>13</v>
      </c>
      <c r="D58" s="7">
        <v>2</v>
      </c>
      <c r="E58" s="7">
        <v>22</v>
      </c>
    </row>
    <row r="59" spans="1:5">
      <c r="A59" s="5" t="s">
        <v>64</v>
      </c>
      <c r="B59" s="7">
        <v>20</v>
      </c>
      <c r="C59" s="7">
        <v>44</v>
      </c>
      <c r="D59" s="7">
        <v>5</v>
      </c>
      <c r="E59" s="7">
        <v>69</v>
      </c>
    </row>
    <row r="60" spans="1:5">
      <c r="A60" s="8" t="s">
        <v>58</v>
      </c>
      <c r="B60" s="7">
        <v>5</v>
      </c>
      <c r="C60" s="7">
        <v>16</v>
      </c>
      <c r="D60" s="7">
        <v>2</v>
      </c>
      <c r="E60" s="7">
        <v>23</v>
      </c>
    </row>
    <row r="61" spans="1:5">
      <c r="A61" s="8" t="s">
        <v>60</v>
      </c>
      <c r="B61" s="7">
        <v>8</v>
      </c>
      <c r="C61" s="7">
        <v>15</v>
      </c>
      <c r="D61" s="7"/>
      <c r="E61" s="7">
        <v>23</v>
      </c>
    </row>
    <row r="62" spans="1:5">
      <c r="A62" s="8" t="s">
        <v>59</v>
      </c>
      <c r="B62" s="7">
        <v>7</v>
      </c>
      <c r="C62" s="7">
        <v>13</v>
      </c>
      <c r="D62" s="7">
        <v>3</v>
      </c>
      <c r="E62" s="7">
        <v>23</v>
      </c>
    </row>
    <row r="63" spans="1:5">
      <c r="A63" s="5" t="s">
        <v>51</v>
      </c>
      <c r="B63" s="7">
        <v>105</v>
      </c>
      <c r="C63" s="7">
        <v>140</v>
      </c>
      <c r="D63" s="7">
        <v>29</v>
      </c>
      <c r="E63" s="7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959F-909E-4837-AE9F-D78A277E9B7E}">
  <dimension ref="A1:J61"/>
  <sheetViews>
    <sheetView zoomScaleNormal="100" workbookViewId="0">
      <selection activeCell="O14" sqref="O14"/>
    </sheetView>
  </sheetViews>
  <sheetFormatPr defaultRowHeight="14.4"/>
  <cols>
    <col min="3" max="3" width="15.88671875" customWidth="1"/>
    <col min="8" max="10" width="8.88671875" style="43"/>
  </cols>
  <sheetData>
    <row r="1" spans="1:10">
      <c r="A1" s="2" t="s">
        <v>349</v>
      </c>
      <c r="B1" s="2" t="s">
        <v>72</v>
      </c>
      <c r="C1" s="2" t="s">
        <v>65</v>
      </c>
      <c r="D1" s="2" t="s">
        <v>47</v>
      </c>
      <c r="E1" s="2" t="s">
        <v>48</v>
      </c>
      <c r="F1" s="2" t="s">
        <v>49</v>
      </c>
      <c r="G1" s="2" t="s">
        <v>350</v>
      </c>
      <c r="H1" s="44" t="s">
        <v>351</v>
      </c>
      <c r="I1" s="44" t="s">
        <v>353</v>
      </c>
      <c r="J1" s="44" t="s">
        <v>354</v>
      </c>
    </row>
    <row r="2" spans="1:10">
      <c r="A2" t="s">
        <v>22</v>
      </c>
      <c r="B2" t="s">
        <v>62</v>
      </c>
      <c r="C2" t="s">
        <v>355</v>
      </c>
      <c r="D2">
        <v>16</v>
      </c>
      <c r="E2">
        <v>12</v>
      </c>
      <c r="F2">
        <v>3</v>
      </c>
      <c r="G2">
        <f>SUM(D2:F2)</f>
        <v>31</v>
      </c>
      <c r="H2" s="43">
        <f t="shared" ref="H2:H33" si="0">D2/G2</f>
        <v>0.5161290322580645</v>
      </c>
      <c r="I2" s="43">
        <f t="shared" ref="I2:I33" si="1">E2/G2</f>
        <v>0.38709677419354838</v>
      </c>
      <c r="J2" s="43">
        <f t="shared" ref="J2:J33" si="2">F2/G2</f>
        <v>9.6774193548387094E-2</v>
      </c>
    </row>
    <row r="3" spans="1:10">
      <c r="A3" t="s">
        <v>22</v>
      </c>
      <c r="B3" t="s">
        <v>62</v>
      </c>
      <c r="C3" t="s">
        <v>356</v>
      </c>
      <c r="D3">
        <v>18</v>
      </c>
      <c r="E3">
        <v>0</v>
      </c>
      <c r="F3">
        <v>3</v>
      </c>
      <c r="G3">
        <f t="shared" ref="G3:G61" si="3">SUM(D3:F3)</f>
        <v>21</v>
      </c>
      <c r="H3" s="43">
        <f t="shared" si="0"/>
        <v>0.8571428571428571</v>
      </c>
      <c r="I3" s="43">
        <f t="shared" si="1"/>
        <v>0</v>
      </c>
      <c r="J3" s="43">
        <f t="shared" si="2"/>
        <v>0.14285714285714285</v>
      </c>
    </row>
    <row r="4" spans="1:10">
      <c r="A4" t="s">
        <v>22</v>
      </c>
      <c r="B4" t="s">
        <v>62</v>
      </c>
      <c r="C4" t="s">
        <v>357</v>
      </c>
      <c r="D4">
        <v>13</v>
      </c>
      <c r="E4">
        <v>6</v>
      </c>
      <c r="F4">
        <v>2</v>
      </c>
      <c r="G4">
        <f t="shared" si="3"/>
        <v>21</v>
      </c>
      <c r="H4" s="43">
        <f t="shared" si="0"/>
        <v>0.61904761904761907</v>
      </c>
      <c r="I4" s="43">
        <f t="shared" si="1"/>
        <v>0.2857142857142857</v>
      </c>
      <c r="J4" s="43">
        <f t="shared" si="2"/>
        <v>9.5238095238095233E-2</v>
      </c>
    </row>
    <row r="5" spans="1:10">
      <c r="A5" t="s">
        <v>22</v>
      </c>
      <c r="B5" t="s">
        <v>63</v>
      </c>
      <c r="C5" t="s">
        <v>355</v>
      </c>
      <c r="D5">
        <v>7</v>
      </c>
      <c r="E5">
        <v>11</v>
      </c>
      <c r="F5">
        <v>9</v>
      </c>
      <c r="G5">
        <f t="shared" si="3"/>
        <v>27</v>
      </c>
      <c r="H5" s="43">
        <f t="shared" si="0"/>
        <v>0.25925925925925924</v>
      </c>
      <c r="I5" s="43">
        <f t="shared" si="1"/>
        <v>0.40740740740740738</v>
      </c>
      <c r="J5" s="43">
        <f t="shared" si="2"/>
        <v>0.33333333333333331</v>
      </c>
    </row>
    <row r="6" spans="1:10">
      <c r="A6" t="s">
        <v>22</v>
      </c>
      <c r="B6" t="s">
        <v>63</v>
      </c>
      <c r="C6" t="s">
        <v>356</v>
      </c>
      <c r="D6">
        <v>6</v>
      </c>
      <c r="E6">
        <v>10</v>
      </c>
      <c r="F6">
        <v>4</v>
      </c>
      <c r="G6">
        <f t="shared" si="3"/>
        <v>20</v>
      </c>
      <c r="H6" s="43">
        <f t="shared" si="0"/>
        <v>0.3</v>
      </c>
      <c r="I6" s="43">
        <f t="shared" si="1"/>
        <v>0.5</v>
      </c>
      <c r="J6" s="43">
        <f t="shared" si="2"/>
        <v>0.2</v>
      </c>
    </row>
    <row r="7" spans="1:10">
      <c r="A7" t="s">
        <v>22</v>
      </c>
      <c r="B7" t="s">
        <v>63</v>
      </c>
      <c r="C7" t="s">
        <v>357</v>
      </c>
      <c r="D7">
        <v>11</v>
      </c>
      <c r="E7">
        <v>10</v>
      </c>
      <c r="F7">
        <v>1</v>
      </c>
      <c r="G7">
        <f t="shared" si="3"/>
        <v>22</v>
      </c>
      <c r="H7" s="43">
        <f t="shared" si="0"/>
        <v>0.5</v>
      </c>
      <c r="I7" s="43">
        <f t="shared" si="1"/>
        <v>0.45454545454545453</v>
      </c>
      <c r="J7" s="43">
        <f t="shared" si="2"/>
        <v>4.5454545454545456E-2</v>
      </c>
    </row>
    <row r="8" spans="1:10">
      <c r="A8" t="s">
        <v>22</v>
      </c>
      <c r="B8" t="s">
        <v>64</v>
      </c>
      <c r="C8" t="s">
        <v>355</v>
      </c>
      <c r="D8">
        <v>12</v>
      </c>
      <c r="E8">
        <v>8</v>
      </c>
      <c r="F8">
        <v>3</v>
      </c>
      <c r="G8">
        <f t="shared" si="3"/>
        <v>23</v>
      </c>
      <c r="H8" s="43">
        <f t="shared" si="0"/>
        <v>0.52173913043478259</v>
      </c>
      <c r="I8" s="43">
        <f t="shared" si="1"/>
        <v>0.34782608695652173</v>
      </c>
      <c r="J8" s="43">
        <f t="shared" si="2"/>
        <v>0.13043478260869565</v>
      </c>
    </row>
    <row r="9" spans="1:10">
      <c r="A9" t="s">
        <v>22</v>
      </c>
      <c r="B9" t="s">
        <v>64</v>
      </c>
      <c r="C9" t="s">
        <v>356</v>
      </c>
      <c r="D9">
        <v>13</v>
      </c>
      <c r="E9">
        <v>9</v>
      </c>
      <c r="F9">
        <v>1</v>
      </c>
      <c r="G9">
        <f t="shared" si="3"/>
        <v>23</v>
      </c>
      <c r="H9" s="43">
        <f t="shared" si="0"/>
        <v>0.56521739130434778</v>
      </c>
      <c r="I9" s="43">
        <f t="shared" si="1"/>
        <v>0.39130434782608697</v>
      </c>
      <c r="J9" s="43">
        <f t="shared" si="2"/>
        <v>4.3478260869565216E-2</v>
      </c>
    </row>
    <row r="10" spans="1:10">
      <c r="A10" t="s">
        <v>22</v>
      </c>
      <c r="B10" t="s">
        <v>64</v>
      </c>
      <c r="C10" t="s">
        <v>357</v>
      </c>
      <c r="D10">
        <v>22</v>
      </c>
      <c r="E10">
        <v>0</v>
      </c>
      <c r="F10">
        <v>1</v>
      </c>
      <c r="G10">
        <f t="shared" si="3"/>
        <v>23</v>
      </c>
      <c r="H10" s="43">
        <f t="shared" si="0"/>
        <v>0.95652173913043481</v>
      </c>
      <c r="I10" s="43">
        <f t="shared" si="1"/>
        <v>0</v>
      </c>
      <c r="J10" s="43">
        <f t="shared" si="2"/>
        <v>4.3478260869565216E-2</v>
      </c>
    </row>
    <row r="11" spans="1:10">
      <c r="A11" t="s">
        <v>22</v>
      </c>
      <c r="B11" t="s">
        <v>61</v>
      </c>
      <c r="C11" t="s">
        <v>355</v>
      </c>
      <c r="D11">
        <v>18</v>
      </c>
      <c r="E11">
        <v>1</v>
      </c>
      <c r="F11">
        <v>2</v>
      </c>
      <c r="G11">
        <f t="shared" si="3"/>
        <v>21</v>
      </c>
      <c r="H11" s="43">
        <f t="shared" si="0"/>
        <v>0.8571428571428571</v>
      </c>
      <c r="I11" s="43">
        <f t="shared" si="1"/>
        <v>4.7619047619047616E-2</v>
      </c>
      <c r="J11" s="43">
        <f t="shared" si="2"/>
        <v>9.5238095238095233E-2</v>
      </c>
    </row>
    <row r="12" spans="1:10">
      <c r="A12" t="s">
        <v>22</v>
      </c>
      <c r="B12" t="s">
        <v>61</v>
      </c>
      <c r="C12" t="s">
        <v>356</v>
      </c>
      <c r="D12">
        <v>18</v>
      </c>
      <c r="E12">
        <v>3</v>
      </c>
      <c r="F12">
        <v>0</v>
      </c>
      <c r="G12">
        <f t="shared" si="3"/>
        <v>21</v>
      </c>
      <c r="H12" s="43">
        <f t="shared" si="0"/>
        <v>0.8571428571428571</v>
      </c>
      <c r="I12" s="43">
        <f t="shared" si="1"/>
        <v>0.14285714285714285</v>
      </c>
      <c r="J12" s="43">
        <f t="shared" si="2"/>
        <v>0</v>
      </c>
    </row>
    <row r="13" spans="1:10">
      <c r="A13" t="s">
        <v>22</v>
      </c>
      <c r="B13" t="s">
        <v>61</v>
      </c>
      <c r="C13" t="s">
        <v>357</v>
      </c>
      <c r="D13">
        <v>13</v>
      </c>
      <c r="E13">
        <v>6</v>
      </c>
      <c r="F13">
        <v>2</v>
      </c>
      <c r="G13">
        <f t="shared" si="3"/>
        <v>21</v>
      </c>
      <c r="H13" s="43">
        <f t="shared" si="0"/>
        <v>0.61904761904761907</v>
      </c>
      <c r="I13" s="43">
        <f t="shared" si="1"/>
        <v>0.2857142857142857</v>
      </c>
      <c r="J13" s="43">
        <f t="shared" si="2"/>
        <v>9.5238095238095233E-2</v>
      </c>
    </row>
    <row r="14" spans="1:10">
      <c r="A14" t="s">
        <v>27</v>
      </c>
      <c r="B14" t="s">
        <v>62</v>
      </c>
      <c r="C14" t="s">
        <v>355</v>
      </c>
      <c r="D14">
        <v>9</v>
      </c>
      <c r="E14">
        <v>7</v>
      </c>
      <c r="F14">
        <v>15</v>
      </c>
      <c r="G14">
        <f t="shared" si="3"/>
        <v>31</v>
      </c>
      <c r="H14" s="43">
        <f t="shared" si="0"/>
        <v>0.29032258064516131</v>
      </c>
      <c r="I14" s="43">
        <f t="shared" si="1"/>
        <v>0.22580645161290322</v>
      </c>
      <c r="J14" s="43">
        <f t="shared" si="2"/>
        <v>0.4838709677419355</v>
      </c>
    </row>
    <row r="15" spans="1:10">
      <c r="A15" t="s">
        <v>27</v>
      </c>
      <c r="B15" t="s">
        <v>62</v>
      </c>
      <c r="C15" t="s">
        <v>356</v>
      </c>
      <c r="D15">
        <v>1</v>
      </c>
      <c r="E15">
        <v>0</v>
      </c>
      <c r="F15">
        <v>17</v>
      </c>
      <c r="G15">
        <f t="shared" si="3"/>
        <v>18</v>
      </c>
      <c r="H15" s="43">
        <f t="shared" si="0"/>
        <v>5.5555555555555552E-2</v>
      </c>
      <c r="I15" s="43">
        <f t="shared" si="1"/>
        <v>0</v>
      </c>
      <c r="J15" s="43">
        <f t="shared" si="2"/>
        <v>0.94444444444444442</v>
      </c>
    </row>
    <row r="16" spans="1:10">
      <c r="A16" t="s">
        <v>27</v>
      </c>
      <c r="B16" t="s">
        <v>62</v>
      </c>
      <c r="C16" t="s">
        <v>357</v>
      </c>
      <c r="D16">
        <v>2</v>
      </c>
      <c r="E16">
        <v>4</v>
      </c>
      <c r="F16">
        <v>18</v>
      </c>
      <c r="G16">
        <f t="shared" si="3"/>
        <v>24</v>
      </c>
      <c r="H16" s="43">
        <f t="shared" si="0"/>
        <v>8.3333333333333329E-2</v>
      </c>
      <c r="I16" s="43">
        <f t="shared" si="1"/>
        <v>0.16666666666666666</v>
      </c>
      <c r="J16" s="43">
        <f t="shared" si="2"/>
        <v>0.75</v>
      </c>
    </row>
    <row r="17" spans="1:10">
      <c r="A17" t="s">
        <v>27</v>
      </c>
      <c r="B17" t="s">
        <v>63</v>
      </c>
      <c r="C17" t="s">
        <v>355</v>
      </c>
      <c r="D17">
        <v>4</v>
      </c>
      <c r="E17">
        <v>4</v>
      </c>
      <c r="F17">
        <v>19</v>
      </c>
      <c r="G17">
        <f t="shared" si="3"/>
        <v>27</v>
      </c>
      <c r="H17" s="43">
        <f t="shared" si="0"/>
        <v>0.14814814814814814</v>
      </c>
      <c r="I17" s="43">
        <f t="shared" si="1"/>
        <v>0.14814814814814814</v>
      </c>
      <c r="J17" s="43">
        <f t="shared" si="2"/>
        <v>0.70370370370370372</v>
      </c>
    </row>
    <row r="18" spans="1:10">
      <c r="A18" t="s">
        <v>27</v>
      </c>
      <c r="B18" t="s">
        <v>63</v>
      </c>
      <c r="C18" t="s">
        <v>356</v>
      </c>
      <c r="D18">
        <v>1</v>
      </c>
      <c r="E18">
        <v>1</v>
      </c>
      <c r="F18">
        <v>18</v>
      </c>
      <c r="G18">
        <f t="shared" si="3"/>
        <v>20</v>
      </c>
      <c r="H18" s="43">
        <f t="shared" si="0"/>
        <v>0.05</v>
      </c>
      <c r="I18" s="43">
        <f t="shared" si="1"/>
        <v>0.05</v>
      </c>
      <c r="J18" s="43">
        <f t="shared" si="2"/>
        <v>0.9</v>
      </c>
    </row>
    <row r="19" spans="1:10">
      <c r="A19" t="s">
        <v>27</v>
      </c>
      <c r="B19" t="s">
        <v>63</v>
      </c>
      <c r="C19" t="s">
        <v>357</v>
      </c>
      <c r="D19">
        <v>0</v>
      </c>
      <c r="E19">
        <v>1</v>
      </c>
      <c r="F19">
        <v>21</v>
      </c>
      <c r="G19">
        <f t="shared" si="3"/>
        <v>22</v>
      </c>
      <c r="H19" s="43">
        <f t="shared" si="0"/>
        <v>0</v>
      </c>
      <c r="I19" s="43">
        <f t="shared" si="1"/>
        <v>4.5454545454545456E-2</v>
      </c>
      <c r="J19" s="43">
        <f t="shared" si="2"/>
        <v>0.95454545454545459</v>
      </c>
    </row>
    <row r="20" spans="1:10">
      <c r="A20" t="s">
        <v>27</v>
      </c>
      <c r="B20" t="s">
        <v>64</v>
      </c>
      <c r="C20" t="s">
        <v>355</v>
      </c>
      <c r="D20">
        <v>3</v>
      </c>
      <c r="E20">
        <v>2</v>
      </c>
      <c r="F20">
        <v>18</v>
      </c>
      <c r="G20">
        <f t="shared" si="3"/>
        <v>23</v>
      </c>
      <c r="H20" s="43">
        <f t="shared" si="0"/>
        <v>0.13043478260869565</v>
      </c>
      <c r="I20" s="43">
        <f t="shared" si="1"/>
        <v>8.6956521739130432E-2</v>
      </c>
      <c r="J20" s="43">
        <f t="shared" si="2"/>
        <v>0.78260869565217395</v>
      </c>
    </row>
    <row r="21" spans="1:10">
      <c r="A21" t="s">
        <v>27</v>
      </c>
      <c r="B21" t="s">
        <v>64</v>
      </c>
      <c r="C21" t="s">
        <v>356</v>
      </c>
      <c r="D21">
        <v>0</v>
      </c>
      <c r="E21">
        <v>1</v>
      </c>
      <c r="F21">
        <v>22</v>
      </c>
      <c r="G21">
        <f t="shared" si="3"/>
        <v>23</v>
      </c>
      <c r="H21" s="43">
        <f t="shared" si="0"/>
        <v>0</v>
      </c>
      <c r="I21" s="43">
        <f t="shared" si="1"/>
        <v>4.3478260869565216E-2</v>
      </c>
      <c r="J21" s="43">
        <f t="shared" si="2"/>
        <v>0.95652173913043481</v>
      </c>
    </row>
    <row r="22" spans="1:10">
      <c r="A22" t="s">
        <v>27</v>
      </c>
      <c r="B22" t="s">
        <v>64</v>
      </c>
      <c r="C22" t="s">
        <v>357</v>
      </c>
      <c r="D22">
        <v>3</v>
      </c>
      <c r="E22">
        <v>1</v>
      </c>
      <c r="F22">
        <v>19</v>
      </c>
      <c r="G22">
        <f t="shared" si="3"/>
        <v>23</v>
      </c>
      <c r="H22" s="43">
        <f t="shared" si="0"/>
        <v>0.13043478260869565</v>
      </c>
      <c r="I22" s="43">
        <f t="shared" si="1"/>
        <v>4.3478260869565216E-2</v>
      </c>
      <c r="J22" s="43">
        <f t="shared" si="2"/>
        <v>0.82608695652173914</v>
      </c>
    </row>
    <row r="23" spans="1:10">
      <c r="A23" t="s">
        <v>27</v>
      </c>
      <c r="B23" t="s">
        <v>61</v>
      </c>
      <c r="C23" t="s">
        <v>355</v>
      </c>
      <c r="D23">
        <v>3</v>
      </c>
      <c r="E23">
        <v>4</v>
      </c>
      <c r="F23">
        <v>14</v>
      </c>
      <c r="G23">
        <f t="shared" si="3"/>
        <v>21</v>
      </c>
      <c r="H23" s="43">
        <f t="shared" si="0"/>
        <v>0.14285714285714285</v>
      </c>
      <c r="I23" s="43">
        <f t="shared" si="1"/>
        <v>0.19047619047619047</v>
      </c>
      <c r="J23" s="43">
        <f t="shared" si="2"/>
        <v>0.66666666666666663</v>
      </c>
    </row>
    <row r="24" spans="1:10">
      <c r="A24" t="s">
        <v>27</v>
      </c>
      <c r="B24" t="s">
        <v>61</v>
      </c>
      <c r="C24" t="s">
        <v>356</v>
      </c>
      <c r="D24">
        <v>1</v>
      </c>
      <c r="E24">
        <v>7</v>
      </c>
      <c r="F24">
        <v>13</v>
      </c>
      <c r="G24">
        <f t="shared" si="3"/>
        <v>21</v>
      </c>
      <c r="H24" s="43">
        <f t="shared" si="0"/>
        <v>4.7619047619047616E-2</v>
      </c>
      <c r="I24" s="43">
        <f t="shared" si="1"/>
        <v>0.33333333333333331</v>
      </c>
      <c r="J24" s="43">
        <f t="shared" si="2"/>
        <v>0.61904761904761907</v>
      </c>
    </row>
    <row r="25" spans="1:10">
      <c r="A25" t="s">
        <v>27</v>
      </c>
      <c r="B25" t="s">
        <v>61</v>
      </c>
      <c r="C25" t="s">
        <v>357</v>
      </c>
      <c r="D25">
        <v>3</v>
      </c>
      <c r="E25">
        <v>1</v>
      </c>
      <c r="F25">
        <v>17</v>
      </c>
      <c r="G25">
        <f t="shared" si="3"/>
        <v>21</v>
      </c>
      <c r="H25" s="43">
        <f t="shared" si="0"/>
        <v>0.14285714285714285</v>
      </c>
      <c r="I25" s="43">
        <f t="shared" si="1"/>
        <v>4.7619047619047616E-2</v>
      </c>
      <c r="J25" s="43">
        <f t="shared" si="2"/>
        <v>0.80952380952380953</v>
      </c>
    </row>
    <row r="26" spans="1:10">
      <c r="A26" t="s">
        <v>32</v>
      </c>
      <c r="B26" t="s">
        <v>62</v>
      </c>
      <c r="C26" t="s">
        <v>355</v>
      </c>
      <c r="D26">
        <v>24</v>
      </c>
      <c r="E26">
        <v>1</v>
      </c>
      <c r="F26">
        <v>6</v>
      </c>
      <c r="G26">
        <f t="shared" si="3"/>
        <v>31</v>
      </c>
      <c r="H26" s="43">
        <f t="shared" si="0"/>
        <v>0.77419354838709675</v>
      </c>
      <c r="I26" s="43">
        <f t="shared" si="1"/>
        <v>3.2258064516129031E-2</v>
      </c>
      <c r="J26" s="43">
        <f t="shared" si="2"/>
        <v>0.19354838709677419</v>
      </c>
    </row>
    <row r="27" spans="1:10">
      <c r="A27" t="s">
        <v>32</v>
      </c>
      <c r="B27" t="s">
        <v>62</v>
      </c>
      <c r="C27" t="s">
        <v>356</v>
      </c>
      <c r="D27">
        <v>13</v>
      </c>
      <c r="E27">
        <v>0</v>
      </c>
      <c r="F27">
        <v>5</v>
      </c>
      <c r="G27">
        <f t="shared" si="3"/>
        <v>18</v>
      </c>
      <c r="H27" s="43">
        <f t="shared" si="0"/>
        <v>0.72222222222222221</v>
      </c>
      <c r="I27" s="43">
        <f t="shared" si="1"/>
        <v>0</v>
      </c>
      <c r="J27" s="43">
        <f t="shared" si="2"/>
        <v>0.27777777777777779</v>
      </c>
    </row>
    <row r="28" spans="1:10">
      <c r="A28" t="s">
        <v>32</v>
      </c>
      <c r="B28" t="s">
        <v>62</v>
      </c>
      <c r="C28" t="s">
        <v>357</v>
      </c>
      <c r="D28">
        <v>22</v>
      </c>
      <c r="E28">
        <v>0</v>
      </c>
      <c r="F28">
        <v>2</v>
      </c>
      <c r="G28">
        <f t="shared" si="3"/>
        <v>24</v>
      </c>
      <c r="H28" s="43">
        <f t="shared" si="0"/>
        <v>0.91666666666666663</v>
      </c>
      <c r="I28" s="43">
        <f t="shared" si="1"/>
        <v>0</v>
      </c>
      <c r="J28" s="43">
        <f t="shared" si="2"/>
        <v>8.3333333333333329E-2</v>
      </c>
    </row>
    <row r="29" spans="1:10">
      <c r="A29" t="s">
        <v>32</v>
      </c>
      <c r="B29" t="s">
        <v>63</v>
      </c>
      <c r="C29" t="s">
        <v>355</v>
      </c>
      <c r="D29">
        <v>13</v>
      </c>
      <c r="E29">
        <v>6</v>
      </c>
      <c r="F29">
        <v>8</v>
      </c>
      <c r="G29">
        <f t="shared" si="3"/>
        <v>27</v>
      </c>
      <c r="H29" s="43">
        <f t="shared" si="0"/>
        <v>0.48148148148148145</v>
      </c>
      <c r="I29" s="43">
        <f t="shared" si="1"/>
        <v>0.22222222222222221</v>
      </c>
      <c r="J29" s="43">
        <f t="shared" si="2"/>
        <v>0.29629629629629628</v>
      </c>
    </row>
    <row r="30" spans="1:10">
      <c r="A30" t="s">
        <v>32</v>
      </c>
      <c r="B30" t="s">
        <v>63</v>
      </c>
      <c r="C30" t="s">
        <v>356</v>
      </c>
      <c r="D30">
        <v>14</v>
      </c>
      <c r="E30">
        <v>1</v>
      </c>
      <c r="F30">
        <v>5</v>
      </c>
      <c r="G30">
        <f t="shared" si="3"/>
        <v>20</v>
      </c>
      <c r="H30" s="43">
        <f t="shared" si="0"/>
        <v>0.7</v>
      </c>
      <c r="I30" s="43">
        <f t="shared" si="1"/>
        <v>0.05</v>
      </c>
      <c r="J30" s="43">
        <f t="shared" si="2"/>
        <v>0.25</v>
      </c>
    </row>
    <row r="31" spans="1:10">
      <c r="A31" t="s">
        <v>32</v>
      </c>
      <c r="B31" t="s">
        <v>63</v>
      </c>
      <c r="C31" t="s">
        <v>357</v>
      </c>
      <c r="D31">
        <v>17</v>
      </c>
      <c r="E31">
        <v>0</v>
      </c>
      <c r="F31">
        <v>5</v>
      </c>
      <c r="G31">
        <f t="shared" si="3"/>
        <v>22</v>
      </c>
      <c r="H31" s="43">
        <f t="shared" si="0"/>
        <v>0.77272727272727271</v>
      </c>
      <c r="I31" s="43">
        <f t="shared" si="1"/>
        <v>0</v>
      </c>
      <c r="J31" s="43">
        <f t="shared" si="2"/>
        <v>0.22727272727272727</v>
      </c>
    </row>
    <row r="32" spans="1:10">
      <c r="A32" t="s">
        <v>32</v>
      </c>
      <c r="B32" t="s">
        <v>64</v>
      </c>
      <c r="C32" t="s">
        <v>355</v>
      </c>
      <c r="D32">
        <v>17</v>
      </c>
      <c r="E32">
        <v>1</v>
      </c>
      <c r="F32">
        <v>5</v>
      </c>
      <c r="G32">
        <f t="shared" si="3"/>
        <v>23</v>
      </c>
      <c r="H32" s="43">
        <f t="shared" si="0"/>
        <v>0.73913043478260865</v>
      </c>
      <c r="I32" s="43">
        <f t="shared" si="1"/>
        <v>4.3478260869565216E-2</v>
      </c>
      <c r="J32" s="43">
        <f t="shared" si="2"/>
        <v>0.21739130434782608</v>
      </c>
    </row>
    <row r="33" spans="1:10">
      <c r="A33" t="s">
        <v>32</v>
      </c>
      <c r="B33" t="s">
        <v>64</v>
      </c>
      <c r="C33" t="s">
        <v>356</v>
      </c>
      <c r="D33">
        <v>19</v>
      </c>
      <c r="E33">
        <v>1</v>
      </c>
      <c r="F33">
        <v>3</v>
      </c>
      <c r="G33">
        <f t="shared" si="3"/>
        <v>23</v>
      </c>
      <c r="H33" s="43">
        <f t="shared" si="0"/>
        <v>0.82608695652173914</v>
      </c>
      <c r="I33" s="43">
        <f t="shared" si="1"/>
        <v>4.3478260869565216E-2</v>
      </c>
      <c r="J33" s="43">
        <f t="shared" si="2"/>
        <v>0.13043478260869565</v>
      </c>
    </row>
    <row r="34" spans="1:10">
      <c r="A34" t="s">
        <v>32</v>
      </c>
      <c r="B34" t="s">
        <v>64</v>
      </c>
      <c r="C34" t="s">
        <v>357</v>
      </c>
      <c r="D34">
        <v>23</v>
      </c>
      <c r="E34">
        <v>0</v>
      </c>
      <c r="F34">
        <v>0</v>
      </c>
      <c r="G34">
        <f t="shared" si="3"/>
        <v>23</v>
      </c>
      <c r="H34" s="43">
        <f t="shared" ref="H34:H65" si="4">D34/G34</f>
        <v>1</v>
      </c>
      <c r="I34" s="43">
        <f t="shared" ref="I34:I61" si="5">E34/G34</f>
        <v>0</v>
      </c>
      <c r="J34" s="43">
        <f t="shared" ref="J34:J61" si="6">F34/G34</f>
        <v>0</v>
      </c>
    </row>
    <row r="35" spans="1:10">
      <c r="A35" t="s">
        <v>32</v>
      </c>
      <c r="B35" t="s">
        <v>61</v>
      </c>
      <c r="C35" t="s">
        <v>355</v>
      </c>
      <c r="D35">
        <v>20</v>
      </c>
      <c r="E35">
        <v>0</v>
      </c>
      <c r="F35">
        <v>1</v>
      </c>
      <c r="G35">
        <f t="shared" si="3"/>
        <v>21</v>
      </c>
      <c r="H35" s="43">
        <f t="shared" si="4"/>
        <v>0.95238095238095233</v>
      </c>
      <c r="I35" s="43">
        <f t="shared" si="5"/>
        <v>0</v>
      </c>
      <c r="J35" s="43">
        <f t="shared" si="6"/>
        <v>4.7619047619047616E-2</v>
      </c>
    </row>
    <row r="36" spans="1:10">
      <c r="A36" t="s">
        <v>32</v>
      </c>
      <c r="B36" t="s">
        <v>61</v>
      </c>
      <c r="C36" t="s">
        <v>356</v>
      </c>
      <c r="D36">
        <v>16</v>
      </c>
      <c r="E36">
        <v>0</v>
      </c>
      <c r="F36">
        <v>5</v>
      </c>
      <c r="G36">
        <f t="shared" si="3"/>
        <v>21</v>
      </c>
      <c r="H36" s="43">
        <f t="shared" si="4"/>
        <v>0.76190476190476186</v>
      </c>
      <c r="I36" s="43">
        <f t="shared" si="5"/>
        <v>0</v>
      </c>
      <c r="J36" s="43">
        <f t="shared" si="6"/>
        <v>0.23809523809523808</v>
      </c>
    </row>
    <row r="37" spans="1:10">
      <c r="A37" t="s">
        <v>32</v>
      </c>
      <c r="B37" t="s">
        <v>61</v>
      </c>
      <c r="C37" t="s">
        <v>357</v>
      </c>
      <c r="D37">
        <v>19</v>
      </c>
      <c r="E37">
        <v>1</v>
      </c>
      <c r="F37">
        <v>1</v>
      </c>
      <c r="G37">
        <f t="shared" si="3"/>
        <v>21</v>
      </c>
      <c r="H37" s="43">
        <f t="shared" si="4"/>
        <v>0.90476190476190477</v>
      </c>
      <c r="I37" s="43">
        <f t="shared" si="5"/>
        <v>4.7619047619047616E-2</v>
      </c>
      <c r="J37" s="43">
        <f t="shared" si="6"/>
        <v>4.7619047619047616E-2</v>
      </c>
    </row>
    <row r="38" spans="1:10">
      <c r="A38" t="s">
        <v>36</v>
      </c>
      <c r="B38" t="s">
        <v>62</v>
      </c>
      <c r="C38" t="s">
        <v>355</v>
      </c>
      <c r="D38">
        <v>15</v>
      </c>
      <c r="E38">
        <v>4</v>
      </c>
      <c r="F38">
        <v>12</v>
      </c>
      <c r="G38">
        <f t="shared" si="3"/>
        <v>31</v>
      </c>
      <c r="H38" s="43">
        <f t="shared" si="4"/>
        <v>0.4838709677419355</v>
      </c>
      <c r="I38" s="43">
        <f t="shared" si="5"/>
        <v>0.12903225806451613</v>
      </c>
      <c r="J38" s="43">
        <f t="shared" si="6"/>
        <v>0.38709677419354838</v>
      </c>
    </row>
    <row r="39" spans="1:10">
      <c r="A39" t="s">
        <v>36</v>
      </c>
      <c r="B39" t="s">
        <v>62</v>
      </c>
      <c r="C39" t="s">
        <v>356</v>
      </c>
      <c r="D39">
        <v>5</v>
      </c>
      <c r="E39">
        <v>2</v>
      </c>
      <c r="F39">
        <v>11</v>
      </c>
      <c r="G39">
        <f t="shared" si="3"/>
        <v>18</v>
      </c>
      <c r="H39" s="43">
        <f t="shared" si="4"/>
        <v>0.27777777777777779</v>
      </c>
      <c r="I39" s="43">
        <f t="shared" si="5"/>
        <v>0.1111111111111111</v>
      </c>
      <c r="J39" s="43">
        <f t="shared" si="6"/>
        <v>0.61111111111111116</v>
      </c>
    </row>
    <row r="40" spans="1:10">
      <c r="A40" t="s">
        <v>36</v>
      </c>
      <c r="B40" t="s">
        <v>62</v>
      </c>
      <c r="C40" t="s">
        <v>357</v>
      </c>
      <c r="D40">
        <v>10</v>
      </c>
      <c r="E40">
        <v>8</v>
      </c>
      <c r="F40">
        <v>6</v>
      </c>
      <c r="G40">
        <f t="shared" si="3"/>
        <v>24</v>
      </c>
      <c r="H40" s="43">
        <f t="shared" si="4"/>
        <v>0.41666666666666669</v>
      </c>
      <c r="I40" s="43">
        <f t="shared" si="5"/>
        <v>0.33333333333333331</v>
      </c>
      <c r="J40" s="43">
        <f t="shared" si="6"/>
        <v>0.25</v>
      </c>
    </row>
    <row r="41" spans="1:10">
      <c r="A41" t="s">
        <v>36</v>
      </c>
      <c r="B41" t="s">
        <v>63</v>
      </c>
      <c r="C41" t="s">
        <v>355</v>
      </c>
      <c r="D41">
        <v>3</v>
      </c>
      <c r="E41">
        <v>5</v>
      </c>
      <c r="F41">
        <v>19</v>
      </c>
      <c r="G41">
        <f t="shared" si="3"/>
        <v>27</v>
      </c>
      <c r="H41" s="43">
        <f t="shared" si="4"/>
        <v>0.1111111111111111</v>
      </c>
      <c r="I41" s="43">
        <f t="shared" si="5"/>
        <v>0.18518518518518517</v>
      </c>
      <c r="J41" s="43">
        <f t="shared" si="6"/>
        <v>0.70370370370370372</v>
      </c>
    </row>
    <row r="42" spans="1:10">
      <c r="A42" t="s">
        <v>36</v>
      </c>
      <c r="B42" t="s">
        <v>63</v>
      </c>
      <c r="C42" t="s">
        <v>356</v>
      </c>
      <c r="D42">
        <v>5</v>
      </c>
      <c r="E42">
        <v>5</v>
      </c>
      <c r="F42">
        <v>10</v>
      </c>
      <c r="G42">
        <f t="shared" si="3"/>
        <v>20</v>
      </c>
      <c r="H42" s="43">
        <f t="shared" si="4"/>
        <v>0.25</v>
      </c>
      <c r="I42" s="43">
        <f t="shared" si="5"/>
        <v>0.25</v>
      </c>
      <c r="J42" s="43">
        <f t="shared" si="6"/>
        <v>0.5</v>
      </c>
    </row>
    <row r="43" spans="1:10">
      <c r="A43" t="s">
        <v>36</v>
      </c>
      <c r="B43" t="s">
        <v>63</v>
      </c>
      <c r="C43" t="s">
        <v>357</v>
      </c>
      <c r="D43">
        <v>2</v>
      </c>
      <c r="E43">
        <v>3</v>
      </c>
      <c r="F43">
        <v>17</v>
      </c>
      <c r="G43">
        <f t="shared" si="3"/>
        <v>22</v>
      </c>
      <c r="H43" s="43">
        <f t="shared" si="4"/>
        <v>9.0909090909090912E-2</v>
      </c>
      <c r="I43" s="43">
        <f t="shared" si="5"/>
        <v>0.13636363636363635</v>
      </c>
      <c r="J43" s="43">
        <f t="shared" si="6"/>
        <v>0.77272727272727271</v>
      </c>
    </row>
    <row r="44" spans="1:10">
      <c r="A44" t="s">
        <v>36</v>
      </c>
      <c r="B44" t="s">
        <v>64</v>
      </c>
      <c r="C44" t="s">
        <v>355</v>
      </c>
      <c r="D44">
        <v>0</v>
      </c>
      <c r="E44">
        <v>0</v>
      </c>
      <c r="F44">
        <v>23</v>
      </c>
      <c r="G44">
        <f t="shared" si="3"/>
        <v>23</v>
      </c>
      <c r="H44" s="43">
        <f t="shared" si="4"/>
        <v>0</v>
      </c>
      <c r="I44" s="43">
        <f t="shared" si="5"/>
        <v>0</v>
      </c>
      <c r="J44" s="43">
        <f t="shared" si="6"/>
        <v>1</v>
      </c>
    </row>
    <row r="45" spans="1:10">
      <c r="A45" t="s">
        <v>36</v>
      </c>
      <c r="B45" t="s">
        <v>64</v>
      </c>
      <c r="C45" t="s">
        <v>356</v>
      </c>
      <c r="D45">
        <v>2</v>
      </c>
      <c r="E45">
        <v>1</v>
      </c>
      <c r="F45">
        <v>20</v>
      </c>
      <c r="G45">
        <f t="shared" si="3"/>
        <v>23</v>
      </c>
      <c r="H45" s="43">
        <f t="shared" si="4"/>
        <v>8.6956521739130432E-2</v>
      </c>
      <c r="I45" s="43">
        <f t="shared" si="5"/>
        <v>4.3478260869565216E-2</v>
      </c>
      <c r="J45" s="43">
        <f t="shared" si="6"/>
        <v>0.86956521739130432</v>
      </c>
    </row>
    <row r="46" spans="1:10">
      <c r="A46" t="s">
        <v>36</v>
      </c>
      <c r="B46" t="s">
        <v>64</v>
      </c>
      <c r="C46" t="s">
        <v>357</v>
      </c>
      <c r="D46">
        <v>8</v>
      </c>
      <c r="E46">
        <v>8</v>
      </c>
      <c r="F46">
        <v>7</v>
      </c>
      <c r="G46">
        <f t="shared" si="3"/>
        <v>23</v>
      </c>
      <c r="H46" s="43">
        <f t="shared" si="4"/>
        <v>0.34782608695652173</v>
      </c>
      <c r="I46" s="43">
        <f t="shared" si="5"/>
        <v>0.34782608695652173</v>
      </c>
      <c r="J46" s="43">
        <f t="shared" si="6"/>
        <v>0.30434782608695654</v>
      </c>
    </row>
    <row r="47" spans="1:10">
      <c r="A47" t="s">
        <v>36</v>
      </c>
      <c r="B47" t="s">
        <v>61</v>
      </c>
      <c r="C47" t="s">
        <v>355</v>
      </c>
      <c r="D47">
        <v>11</v>
      </c>
      <c r="E47">
        <v>3</v>
      </c>
      <c r="F47">
        <v>7</v>
      </c>
      <c r="G47">
        <f t="shared" si="3"/>
        <v>21</v>
      </c>
      <c r="H47" s="43">
        <f t="shared" si="4"/>
        <v>0.52380952380952384</v>
      </c>
      <c r="I47" s="43">
        <f t="shared" si="5"/>
        <v>0.14285714285714285</v>
      </c>
      <c r="J47" s="43">
        <f t="shared" si="6"/>
        <v>0.33333333333333331</v>
      </c>
    </row>
    <row r="48" spans="1:10">
      <c r="A48" t="s">
        <v>36</v>
      </c>
      <c r="B48" t="s">
        <v>61</v>
      </c>
      <c r="C48" t="s">
        <v>356</v>
      </c>
      <c r="D48">
        <v>2</v>
      </c>
      <c r="E48">
        <v>4</v>
      </c>
      <c r="F48">
        <v>15</v>
      </c>
      <c r="G48">
        <f t="shared" si="3"/>
        <v>21</v>
      </c>
      <c r="H48" s="43">
        <f t="shared" si="4"/>
        <v>9.5238095238095233E-2</v>
      </c>
      <c r="I48" s="43">
        <f t="shared" si="5"/>
        <v>0.19047619047619047</v>
      </c>
      <c r="J48" s="43">
        <f t="shared" si="6"/>
        <v>0.7142857142857143</v>
      </c>
    </row>
    <row r="49" spans="1:10">
      <c r="A49" t="s">
        <v>36</v>
      </c>
      <c r="B49" t="s">
        <v>61</v>
      </c>
      <c r="C49" t="s">
        <v>357</v>
      </c>
      <c r="D49">
        <v>0</v>
      </c>
      <c r="E49">
        <v>7</v>
      </c>
      <c r="F49">
        <v>14</v>
      </c>
      <c r="G49">
        <f t="shared" si="3"/>
        <v>21</v>
      </c>
      <c r="H49" s="43">
        <f t="shared" si="4"/>
        <v>0</v>
      </c>
      <c r="I49" s="43">
        <f t="shared" si="5"/>
        <v>0.33333333333333331</v>
      </c>
      <c r="J49" s="43">
        <f t="shared" si="6"/>
        <v>0.66666666666666663</v>
      </c>
    </row>
    <row r="50" spans="1:10">
      <c r="A50" t="s">
        <v>41</v>
      </c>
      <c r="B50" t="s">
        <v>62</v>
      </c>
      <c r="C50" t="s">
        <v>355</v>
      </c>
      <c r="D50">
        <v>6</v>
      </c>
      <c r="E50">
        <v>15</v>
      </c>
      <c r="F50">
        <v>10</v>
      </c>
      <c r="G50">
        <f t="shared" si="3"/>
        <v>31</v>
      </c>
      <c r="H50" s="43">
        <f t="shared" si="4"/>
        <v>0.19354838709677419</v>
      </c>
      <c r="I50" s="43">
        <f t="shared" si="5"/>
        <v>0.4838709677419355</v>
      </c>
      <c r="J50" s="43">
        <f t="shared" si="6"/>
        <v>0.32258064516129031</v>
      </c>
    </row>
    <row r="51" spans="1:10">
      <c r="A51" t="s">
        <v>41</v>
      </c>
      <c r="B51" t="s">
        <v>62</v>
      </c>
      <c r="C51" t="s">
        <v>356</v>
      </c>
      <c r="D51">
        <v>1</v>
      </c>
      <c r="E51">
        <v>10</v>
      </c>
      <c r="F51">
        <v>7</v>
      </c>
      <c r="G51">
        <f t="shared" si="3"/>
        <v>18</v>
      </c>
      <c r="H51" s="43">
        <f t="shared" si="4"/>
        <v>5.5555555555555552E-2</v>
      </c>
      <c r="I51" s="43">
        <f t="shared" si="5"/>
        <v>0.55555555555555558</v>
      </c>
      <c r="J51" s="43">
        <f t="shared" si="6"/>
        <v>0.3888888888888889</v>
      </c>
    </row>
    <row r="52" spans="1:10">
      <c r="A52" t="s">
        <v>41</v>
      </c>
      <c r="B52" t="s">
        <v>62</v>
      </c>
      <c r="C52" t="s">
        <v>357</v>
      </c>
      <c r="D52">
        <v>3</v>
      </c>
      <c r="E52">
        <v>10</v>
      </c>
      <c r="F52">
        <v>11</v>
      </c>
      <c r="G52">
        <f t="shared" si="3"/>
        <v>24</v>
      </c>
      <c r="H52" s="43">
        <f t="shared" si="4"/>
        <v>0.125</v>
      </c>
      <c r="I52" s="43">
        <f t="shared" si="5"/>
        <v>0.41666666666666669</v>
      </c>
      <c r="J52" s="43">
        <f t="shared" si="6"/>
        <v>0.45833333333333331</v>
      </c>
    </row>
    <row r="53" spans="1:10">
      <c r="A53" t="s">
        <v>41</v>
      </c>
      <c r="B53" t="s">
        <v>63</v>
      </c>
      <c r="C53" t="s">
        <v>355</v>
      </c>
      <c r="D53">
        <v>2</v>
      </c>
      <c r="E53">
        <v>9</v>
      </c>
      <c r="F53">
        <v>16</v>
      </c>
      <c r="G53">
        <f t="shared" si="3"/>
        <v>27</v>
      </c>
      <c r="H53" s="43">
        <f t="shared" si="4"/>
        <v>7.407407407407407E-2</v>
      </c>
      <c r="I53" s="43">
        <f t="shared" si="5"/>
        <v>0.33333333333333331</v>
      </c>
      <c r="J53" s="43">
        <f t="shared" si="6"/>
        <v>0.59259259259259256</v>
      </c>
    </row>
    <row r="54" spans="1:10">
      <c r="A54" t="s">
        <v>41</v>
      </c>
      <c r="B54" t="s">
        <v>63</v>
      </c>
      <c r="C54" t="s">
        <v>356</v>
      </c>
      <c r="D54">
        <v>2</v>
      </c>
      <c r="E54">
        <v>8</v>
      </c>
      <c r="F54">
        <v>10</v>
      </c>
      <c r="G54">
        <f t="shared" si="3"/>
        <v>20</v>
      </c>
      <c r="H54" s="43">
        <f t="shared" si="4"/>
        <v>0.1</v>
      </c>
      <c r="I54" s="43">
        <f t="shared" si="5"/>
        <v>0.4</v>
      </c>
      <c r="J54" s="43">
        <f t="shared" si="6"/>
        <v>0.5</v>
      </c>
    </row>
    <row r="55" spans="1:10">
      <c r="A55" t="s">
        <v>41</v>
      </c>
      <c r="B55" t="s">
        <v>63</v>
      </c>
      <c r="C55" t="s">
        <v>357</v>
      </c>
      <c r="D55">
        <v>2</v>
      </c>
      <c r="E55">
        <v>7</v>
      </c>
      <c r="F55">
        <v>13</v>
      </c>
      <c r="G55">
        <f t="shared" si="3"/>
        <v>22</v>
      </c>
      <c r="H55" s="43">
        <f t="shared" si="4"/>
        <v>9.0909090909090912E-2</v>
      </c>
      <c r="I55" s="43">
        <f t="shared" si="5"/>
        <v>0.31818181818181818</v>
      </c>
      <c r="J55" s="43">
        <f t="shared" si="6"/>
        <v>0.59090909090909094</v>
      </c>
    </row>
    <row r="56" spans="1:10">
      <c r="A56" t="s">
        <v>41</v>
      </c>
      <c r="B56" t="s">
        <v>64</v>
      </c>
      <c r="C56" t="s">
        <v>355</v>
      </c>
      <c r="D56">
        <v>2</v>
      </c>
      <c r="E56">
        <v>5</v>
      </c>
      <c r="F56">
        <v>16</v>
      </c>
      <c r="G56">
        <f t="shared" si="3"/>
        <v>23</v>
      </c>
      <c r="H56" s="43">
        <f t="shared" si="4"/>
        <v>8.6956521739130432E-2</v>
      </c>
      <c r="I56" s="43">
        <f t="shared" si="5"/>
        <v>0.21739130434782608</v>
      </c>
      <c r="J56" s="43">
        <f t="shared" si="6"/>
        <v>0.69565217391304346</v>
      </c>
    </row>
    <row r="57" spans="1:10">
      <c r="A57" t="s">
        <v>41</v>
      </c>
      <c r="B57" t="s">
        <v>64</v>
      </c>
      <c r="C57" t="s">
        <v>356</v>
      </c>
      <c r="D57">
        <v>0</v>
      </c>
      <c r="E57">
        <v>8</v>
      </c>
      <c r="F57">
        <v>15</v>
      </c>
      <c r="G57">
        <f t="shared" si="3"/>
        <v>23</v>
      </c>
      <c r="H57" s="43">
        <f t="shared" si="4"/>
        <v>0</v>
      </c>
      <c r="I57" s="43">
        <f t="shared" si="5"/>
        <v>0.34782608695652173</v>
      </c>
      <c r="J57" s="43">
        <f t="shared" si="6"/>
        <v>0.65217391304347827</v>
      </c>
    </row>
    <row r="58" spans="1:10">
      <c r="A58" t="s">
        <v>41</v>
      </c>
      <c r="B58" t="s">
        <v>64</v>
      </c>
      <c r="C58" t="s">
        <v>357</v>
      </c>
      <c r="D58">
        <v>3</v>
      </c>
      <c r="E58">
        <v>7</v>
      </c>
      <c r="F58">
        <v>13</v>
      </c>
      <c r="G58">
        <f t="shared" si="3"/>
        <v>23</v>
      </c>
      <c r="H58" s="43">
        <f t="shared" si="4"/>
        <v>0.13043478260869565</v>
      </c>
      <c r="I58" s="43">
        <f t="shared" si="5"/>
        <v>0.30434782608695654</v>
      </c>
      <c r="J58" s="43">
        <f t="shared" si="6"/>
        <v>0.56521739130434778</v>
      </c>
    </row>
    <row r="59" spans="1:10">
      <c r="A59" t="s">
        <v>41</v>
      </c>
      <c r="B59" t="s">
        <v>61</v>
      </c>
      <c r="C59" t="s">
        <v>355</v>
      </c>
      <c r="D59">
        <v>2</v>
      </c>
      <c r="E59">
        <v>9</v>
      </c>
      <c r="F59">
        <v>10</v>
      </c>
      <c r="G59">
        <f t="shared" si="3"/>
        <v>21</v>
      </c>
      <c r="H59" s="43">
        <f t="shared" si="4"/>
        <v>9.5238095238095233E-2</v>
      </c>
      <c r="I59" s="43">
        <f t="shared" si="5"/>
        <v>0.42857142857142855</v>
      </c>
      <c r="J59" s="43">
        <f t="shared" si="6"/>
        <v>0.47619047619047616</v>
      </c>
    </row>
    <row r="60" spans="1:10">
      <c r="A60" t="s">
        <v>41</v>
      </c>
      <c r="B60" t="s">
        <v>61</v>
      </c>
      <c r="C60" t="s">
        <v>356</v>
      </c>
      <c r="D60">
        <v>2</v>
      </c>
      <c r="E60">
        <v>8</v>
      </c>
      <c r="F60">
        <v>11</v>
      </c>
      <c r="G60">
        <f t="shared" si="3"/>
        <v>21</v>
      </c>
      <c r="H60" s="43">
        <f t="shared" si="4"/>
        <v>9.5238095238095233E-2</v>
      </c>
      <c r="I60" s="43">
        <f t="shared" si="5"/>
        <v>0.38095238095238093</v>
      </c>
      <c r="J60" s="43">
        <f t="shared" si="6"/>
        <v>0.52380952380952384</v>
      </c>
    </row>
    <row r="61" spans="1:10">
      <c r="A61" t="s">
        <v>41</v>
      </c>
      <c r="B61" t="s">
        <v>61</v>
      </c>
      <c r="C61" t="s">
        <v>357</v>
      </c>
      <c r="D61">
        <v>4</v>
      </c>
      <c r="E61">
        <v>9</v>
      </c>
      <c r="F61">
        <v>8</v>
      </c>
      <c r="G61">
        <f t="shared" si="3"/>
        <v>21</v>
      </c>
      <c r="H61" s="43">
        <f t="shared" si="4"/>
        <v>0.19047619047619047</v>
      </c>
      <c r="I61" s="43">
        <f t="shared" si="5"/>
        <v>0.42857142857142855</v>
      </c>
      <c r="J61" s="43">
        <f t="shared" si="6"/>
        <v>0.38095238095238093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5"/>
  <sheetViews>
    <sheetView workbookViewId="0">
      <selection activeCell="F6" sqref="A1:O275"/>
    </sheetView>
  </sheetViews>
  <sheetFormatPr defaultRowHeight="14.4"/>
  <cols>
    <col min="1" max="1" width="8.6640625" customWidth="1"/>
    <col min="2" max="2" width="5.21875" customWidth="1"/>
    <col min="3" max="3" width="14.33203125" bestFit="1" customWidth="1"/>
    <col min="4" max="4" width="10.21875" customWidth="1"/>
    <col min="5" max="5" width="14.77734375" customWidth="1"/>
    <col min="6" max="6" width="12.6640625" customWidth="1"/>
    <col min="7" max="7" width="16" customWidth="1"/>
    <col min="8" max="8" width="11.5546875" customWidth="1"/>
    <col min="9" max="9" width="16.88671875" customWidth="1"/>
    <col min="10" max="10" width="11.21875" customWidth="1"/>
    <col min="11" max="11" width="17.44140625" customWidth="1"/>
    <col min="12" max="12" width="14.33203125" customWidth="1"/>
    <col min="13" max="13" width="17.109375" customWidth="1"/>
    <col min="14" max="14" width="15.33203125" customWidth="1"/>
    <col min="15" max="15" width="18.33203125" customWidth="1"/>
  </cols>
  <sheetData>
    <row r="1" spans="1:19" s="2" customFormat="1" ht="15" thickBot="1">
      <c r="A1" s="10" t="s">
        <v>74</v>
      </c>
      <c r="B1" s="11" t="s">
        <v>72</v>
      </c>
      <c r="C1" s="11" t="s">
        <v>65</v>
      </c>
      <c r="D1" s="12" t="s">
        <v>16</v>
      </c>
      <c r="E1" s="11" t="s">
        <v>66</v>
      </c>
      <c r="F1" s="12" t="s">
        <v>2</v>
      </c>
      <c r="G1" s="12" t="s">
        <v>67</v>
      </c>
      <c r="H1" s="12" t="s">
        <v>0</v>
      </c>
      <c r="I1" s="11" t="s">
        <v>68</v>
      </c>
      <c r="J1" s="12" t="s">
        <v>15</v>
      </c>
      <c r="K1" s="12" t="s">
        <v>71</v>
      </c>
      <c r="L1" s="12" t="s">
        <v>1</v>
      </c>
      <c r="M1" s="13" t="s">
        <v>69</v>
      </c>
      <c r="N1" s="11" t="s">
        <v>70</v>
      </c>
      <c r="O1" s="11" t="s">
        <v>73</v>
      </c>
    </row>
    <row r="2" spans="1:19" ht="15" thickTop="1">
      <c r="A2" s="14" t="s">
        <v>75</v>
      </c>
      <c r="B2" s="15" t="s">
        <v>62</v>
      </c>
      <c r="C2" s="16" t="s">
        <v>58</v>
      </c>
      <c r="D2" s="17">
        <v>25</v>
      </c>
      <c r="E2" s="17" t="str">
        <f>_xlfn.IFS(D2&lt;=19, "Resistant", D2&lt;=22, "Intermediate", D2&gt;=23, "Sensitive")</f>
        <v>Sensitive</v>
      </c>
      <c r="F2" s="17">
        <v>20</v>
      </c>
      <c r="G2" s="17" t="str">
        <f>_xlfn.IFS(F2&lt;=17, "Resistant", F2&lt;=20, "Intermediate", F2&gt;=21, "Sensitive")</f>
        <v>Intermediate</v>
      </c>
      <c r="H2" s="17">
        <v>20</v>
      </c>
      <c r="I2" s="15" t="str">
        <f>_xlfn.IFS(H2&lt;=12, "Resistant", H2&lt;=14, "Intermediate", H2&gt;=15, "Sensitive")</f>
        <v>Sensitive</v>
      </c>
      <c r="J2" s="17">
        <v>15</v>
      </c>
      <c r="K2" s="18" t="str">
        <f>_xlfn.IFS(J2&lt;=13, "Resistant", J2&lt;=17, "Intermediate", J2&gt;=18, "Sensitive")</f>
        <v>Intermediate</v>
      </c>
      <c r="L2" s="17">
        <v>28</v>
      </c>
      <c r="M2" s="19" t="str">
        <f>_xlfn.IFS(L2&lt;=21, "Resistant", L2&lt;=25, "Intermediate", L2&gt;=26, "Sensitive")</f>
        <v>Sensitive</v>
      </c>
      <c r="N2" s="15">
        <f>COUNTIF(E2:M2,"Resistant")</f>
        <v>0</v>
      </c>
      <c r="O2" s="15" t="str">
        <f t="shared" ref="O2:O65" si="0">_xlfn.IFS(N2&lt;=2, "Susceptible",N2=3,"MDR",N2=4, "XDR",N2=5, "XDR*")</f>
        <v>Susceptible</v>
      </c>
    </row>
    <row r="3" spans="1:19">
      <c r="A3" s="20" t="s">
        <v>76</v>
      </c>
      <c r="B3" s="9" t="s">
        <v>62</v>
      </c>
      <c r="C3" s="21" t="s">
        <v>58</v>
      </c>
      <c r="D3" s="22">
        <v>25</v>
      </c>
      <c r="E3" s="17" t="str">
        <f t="shared" ref="E3:E66" si="1">_xlfn.IFS(D3&lt;=19, "Resistant", D3&lt;=22, "Intermediate", D3&gt;=23, "Sensitive")</f>
        <v>Sensitive</v>
      </c>
      <c r="F3" s="22">
        <v>25</v>
      </c>
      <c r="G3" s="17" t="str">
        <f t="shared" ref="G3:G66" si="2">_xlfn.IFS(F3&lt;=17, "Resistant", F3&lt;=20, "Intermediate", F3&gt;=21, "Sensitive")</f>
        <v>Sensitive</v>
      </c>
      <c r="H3" s="22">
        <v>20</v>
      </c>
      <c r="I3" s="9" t="str">
        <f t="shared" ref="I3:I66" si="3">_xlfn.IFS(H3&lt;=12, "Resistant", H3&lt;=14, "Intermediate", H3&gt;=15, "Sensitive")</f>
        <v>Sensitive</v>
      </c>
      <c r="J3" s="22">
        <v>20</v>
      </c>
      <c r="K3" s="9" t="str">
        <f t="shared" ref="K3:K66" si="4">_xlfn.IFS(J3&lt;=13, "Resistant", J3&lt;=17, "Intermediate", J3&gt;=18, "Sensitive")</f>
        <v>Sensitive</v>
      </c>
      <c r="L3" s="22">
        <v>30</v>
      </c>
      <c r="M3" s="23" t="str">
        <f t="shared" ref="M3:M66" si="5">_xlfn.IFS(L3&lt;=21, "Resistant", L3&lt;=25, "Intermediate", L3&gt;=26, "Sensitive")</f>
        <v>Sensitive</v>
      </c>
      <c r="N3" s="9">
        <f t="shared" ref="N3:N66" si="6">COUNTIF(E3:M3,"Resistant")</f>
        <v>0</v>
      </c>
      <c r="O3" s="9" t="str">
        <f t="shared" si="0"/>
        <v>Susceptible</v>
      </c>
    </row>
    <row r="4" spans="1:19">
      <c r="A4" s="24" t="s">
        <v>77</v>
      </c>
      <c r="B4" s="25" t="s">
        <v>62</v>
      </c>
      <c r="C4" s="26" t="s">
        <v>58</v>
      </c>
      <c r="D4" s="17">
        <v>30</v>
      </c>
      <c r="E4" s="17" t="str">
        <f t="shared" si="1"/>
        <v>Sensitive</v>
      </c>
      <c r="F4" s="17">
        <v>10</v>
      </c>
      <c r="G4" s="17" t="str">
        <f t="shared" si="2"/>
        <v>Resistant</v>
      </c>
      <c r="H4" s="17">
        <v>20</v>
      </c>
      <c r="I4" s="25" t="str">
        <f t="shared" si="3"/>
        <v>Sensitive</v>
      </c>
      <c r="J4" s="17">
        <v>20</v>
      </c>
      <c r="K4" s="25" t="str">
        <f t="shared" si="4"/>
        <v>Sensitive</v>
      </c>
      <c r="L4" s="17">
        <v>25</v>
      </c>
      <c r="M4" s="27" t="str">
        <f t="shared" si="5"/>
        <v>Intermediate</v>
      </c>
      <c r="N4" s="25">
        <f t="shared" si="6"/>
        <v>1</v>
      </c>
      <c r="O4" s="25" t="str">
        <f t="shared" si="0"/>
        <v>Susceptible</v>
      </c>
    </row>
    <row r="5" spans="1:19">
      <c r="A5" s="20" t="s">
        <v>78</v>
      </c>
      <c r="B5" s="9" t="s">
        <v>62</v>
      </c>
      <c r="C5" s="21" t="s">
        <v>58</v>
      </c>
      <c r="D5" s="22">
        <v>25</v>
      </c>
      <c r="E5" s="17" t="str">
        <f t="shared" si="1"/>
        <v>Sensitive</v>
      </c>
      <c r="F5" s="22">
        <v>20</v>
      </c>
      <c r="G5" s="17" t="str">
        <f t="shared" si="2"/>
        <v>Intermediate</v>
      </c>
      <c r="H5" s="22">
        <v>20</v>
      </c>
      <c r="I5" s="9" t="str">
        <f t="shared" si="3"/>
        <v>Sensitive</v>
      </c>
      <c r="J5" s="22">
        <v>25</v>
      </c>
      <c r="K5" s="9" t="str">
        <f t="shared" si="4"/>
        <v>Sensitive</v>
      </c>
      <c r="L5" s="22">
        <v>28</v>
      </c>
      <c r="M5" s="23" t="str">
        <f t="shared" si="5"/>
        <v>Sensitive</v>
      </c>
      <c r="N5" s="9">
        <f t="shared" si="6"/>
        <v>0</v>
      </c>
      <c r="O5" s="9" t="str">
        <f t="shared" si="0"/>
        <v>Susceptible</v>
      </c>
    </row>
    <row r="6" spans="1:19">
      <c r="A6" s="24" t="s">
        <v>79</v>
      </c>
      <c r="B6" s="25" t="s">
        <v>62</v>
      </c>
      <c r="C6" s="26" t="s">
        <v>58</v>
      </c>
      <c r="D6" s="17">
        <v>25</v>
      </c>
      <c r="E6" s="17" t="str">
        <f t="shared" si="1"/>
        <v>Sensitive</v>
      </c>
      <c r="F6" s="17">
        <v>7</v>
      </c>
      <c r="G6" s="17" t="str">
        <f t="shared" si="2"/>
        <v>Resistant</v>
      </c>
      <c r="H6" s="17">
        <v>20</v>
      </c>
      <c r="I6" s="25" t="str">
        <f t="shared" si="3"/>
        <v>Sensitive</v>
      </c>
      <c r="J6" s="17">
        <v>20</v>
      </c>
      <c r="K6" s="25" t="str">
        <f t="shared" si="4"/>
        <v>Sensitive</v>
      </c>
      <c r="L6" s="17">
        <v>22</v>
      </c>
      <c r="M6" s="27" t="str">
        <f t="shared" si="5"/>
        <v>Intermediate</v>
      </c>
      <c r="N6" s="25">
        <f t="shared" si="6"/>
        <v>1</v>
      </c>
      <c r="O6" s="25" t="str">
        <f t="shared" si="0"/>
        <v>Susceptible</v>
      </c>
    </row>
    <row r="7" spans="1:19">
      <c r="A7" s="20" t="s">
        <v>80</v>
      </c>
      <c r="B7" s="9" t="s">
        <v>62</v>
      </c>
      <c r="C7" s="21" t="s">
        <v>58</v>
      </c>
      <c r="D7" s="22">
        <v>25</v>
      </c>
      <c r="E7" s="17" t="str">
        <f t="shared" si="1"/>
        <v>Sensitive</v>
      </c>
      <c r="F7" s="22">
        <v>0</v>
      </c>
      <c r="G7" s="17" t="str">
        <f t="shared" si="2"/>
        <v>Resistant</v>
      </c>
      <c r="H7" s="22">
        <v>15</v>
      </c>
      <c r="I7" s="9" t="str">
        <f t="shared" si="3"/>
        <v>Sensitive</v>
      </c>
      <c r="J7" s="22">
        <v>15</v>
      </c>
      <c r="K7" s="9" t="str">
        <f t="shared" si="4"/>
        <v>Intermediate</v>
      </c>
      <c r="L7" s="22">
        <v>25</v>
      </c>
      <c r="M7" s="23" t="str">
        <f t="shared" si="5"/>
        <v>Intermediate</v>
      </c>
      <c r="N7" s="9">
        <f t="shared" si="6"/>
        <v>1</v>
      </c>
      <c r="O7" s="9" t="str">
        <f t="shared" si="0"/>
        <v>Susceptible</v>
      </c>
      <c r="R7" t="s">
        <v>46</v>
      </c>
      <c r="S7" s="3" t="s">
        <v>16</v>
      </c>
    </row>
    <row r="8" spans="1:19">
      <c r="A8" s="24" t="s">
        <v>81</v>
      </c>
      <c r="B8" s="25" t="s">
        <v>62</v>
      </c>
      <c r="C8" s="26" t="s">
        <v>58</v>
      </c>
      <c r="D8" s="17">
        <v>20</v>
      </c>
      <c r="E8" s="17" t="str">
        <f t="shared" si="1"/>
        <v>Intermediate</v>
      </c>
      <c r="F8" s="17">
        <v>0</v>
      </c>
      <c r="G8" s="17" t="str">
        <f t="shared" si="2"/>
        <v>Resistant</v>
      </c>
      <c r="H8" s="17">
        <v>22</v>
      </c>
      <c r="I8" s="25" t="str">
        <f t="shared" si="3"/>
        <v>Sensitive</v>
      </c>
      <c r="J8" s="17">
        <v>10</v>
      </c>
      <c r="K8" s="25" t="str">
        <f t="shared" si="4"/>
        <v>Resistant</v>
      </c>
      <c r="L8" s="17">
        <v>22</v>
      </c>
      <c r="M8" s="27" t="str">
        <f t="shared" si="5"/>
        <v>Intermediate</v>
      </c>
      <c r="N8" s="25">
        <f t="shared" si="6"/>
        <v>2</v>
      </c>
      <c r="O8" s="25" t="str">
        <f t="shared" si="0"/>
        <v>Susceptible</v>
      </c>
      <c r="R8" t="s">
        <v>47</v>
      </c>
      <c r="S8">
        <f>COUNTIF(E:E, E2)</f>
        <v>158</v>
      </c>
    </row>
    <row r="9" spans="1:19">
      <c r="A9" s="20" t="s">
        <v>82</v>
      </c>
      <c r="B9" s="9" t="s">
        <v>62</v>
      </c>
      <c r="C9" s="21" t="s">
        <v>58</v>
      </c>
      <c r="D9" s="22">
        <v>25</v>
      </c>
      <c r="E9" s="17" t="str">
        <f t="shared" si="1"/>
        <v>Sensitive</v>
      </c>
      <c r="F9" s="22">
        <v>25</v>
      </c>
      <c r="G9" s="17" t="str">
        <f t="shared" si="2"/>
        <v>Sensitive</v>
      </c>
      <c r="H9" s="22">
        <v>18</v>
      </c>
      <c r="I9" s="9" t="str">
        <f t="shared" si="3"/>
        <v>Sensitive</v>
      </c>
      <c r="J9" s="22">
        <v>18</v>
      </c>
      <c r="K9" s="9" t="str">
        <f t="shared" si="4"/>
        <v>Sensitive</v>
      </c>
      <c r="L9" s="22">
        <v>22</v>
      </c>
      <c r="M9" s="23" t="str">
        <f t="shared" si="5"/>
        <v>Intermediate</v>
      </c>
      <c r="N9" s="9">
        <f t="shared" si="6"/>
        <v>0</v>
      </c>
      <c r="O9" s="9" t="str">
        <f t="shared" si="0"/>
        <v>Susceptible</v>
      </c>
      <c r="R9" t="s">
        <v>48</v>
      </c>
      <c r="S9">
        <f>COUNTIF(E:E, E11)</f>
        <v>82</v>
      </c>
    </row>
    <row r="10" spans="1:19">
      <c r="A10" s="24" t="s">
        <v>83</v>
      </c>
      <c r="B10" s="25" t="s">
        <v>62</v>
      </c>
      <c r="C10" s="26" t="s">
        <v>58</v>
      </c>
      <c r="D10" s="17">
        <v>22</v>
      </c>
      <c r="E10" s="17" t="str">
        <f t="shared" si="1"/>
        <v>Intermediate</v>
      </c>
      <c r="F10" s="17">
        <v>0</v>
      </c>
      <c r="G10" s="17" t="str">
        <f t="shared" si="2"/>
        <v>Resistant</v>
      </c>
      <c r="H10" s="17">
        <v>12</v>
      </c>
      <c r="I10" s="25" t="str">
        <f t="shared" si="3"/>
        <v>Resistant</v>
      </c>
      <c r="J10" s="17">
        <v>12</v>
      </c>
      <c r="K10" s="25" t="str">
        <f t="shared" si="4"/>
        <v>Resistant</v>
      </c>
      <c r="L10" s="17">
        <v>22</v>
      </c>
      <c r="M10" s="27" t="str">
        <f t="shared" si="5"/>
        <v>Intermediate</v>
      </c>
      <c r="N10" s="25">
        <f t="shared" si="6"/>
        <v>3</v>
      </c>
      <c r="O10" s="25" t="str">
        <f t="shared" si="0"/>
        <v>MDR</v>
      </c>
      <c r="R10" t="s">
        <v>49</v>
      </c>
      <c r="S10">
        <f>COUNTIF(E:E,E24)</f>
        <v>34</v>
      </c>
    </row>
    <row r="11" spans="1:19">
      <c r="A11" s="20" t="s">
        <v>84</v>
      </c>
      <c r="B11" s="9" t="s">
        <v>62</v>
      </c>
      <c r="C11" s="21" t="s">
        <v>58</v>
      </c>
      <c r="D11" s="22">
        <v>20</v>
      </c>
      <c r="E11" s="17" t="str">
        <f t="shared" si="1"/>
        <v>Intermediate</v>
      </c>
      <c r="F11" s="22">
        <v>0</v>
      </c>
      <c r="G11" s="17" t="str">
        <f t="shared" si="2"/>
        <v>Resistant</v>
      </c>
      <c r="H11" s="22">
        <v>10</v>
      </c>
      <c r="I11" s="9" t="str">
        <f t="shared" si="3"/>
        <v>Resistant</v>
      </c>
      <c r="J11" s="22">
        <v>10</v>
      </c>
      <c r="K11" s="9" t="str">
        <f t="shared" si="4"/>
        <v>Resistant</v>
      </c>
      <c r="L11" s="22">
        <v>22</v>
      </c>
      <c r="M11" s="23" t="str">
        <f t="shared" si="5"/>
        <v>Intermediate</v>
      </c>
      <c r="N11" s="9">
        <f t="shared" si="6"/>
        <v>3</v>
      </c>
      <c r="O11" s="9" t="str">
        <f t="shared" si="0"/>
        <v>MDR</v>
      </c>
      <c r="S11">
        <f>SUM(S8:S10)</f>
        <v>274</v>
      </c>
    </row>
    <row r="12" spans="1:19">
      <c r="A12" s="24" t="s">
        <v>85</v>
      </c>
      <c r="B12" s="25" t="s">
        <v>62</v>
      </c>
      <c r="C12" s="26" t="s">
        <v>58</v>
      </c>
      <c r="D12" s="17">
        <v>28</v>
      </c>
      <c r="E12" s="17" t="str">
        <f t="shared" si="1"/>
        <v>Sensitive</v>
      </c>
      <c r="F12" s="17">
        <v>20</v>
      </c>
      <c r="G12" s="17" t="str">
        <f t="shared" si="2"/>
        <v>Intermediate</v>
      </c>
      <c r="H12" s="17">
        <v>18</v>
      </c>
      <c r="I12" s="25" t="str">
        <f t="shared" si="3"/>
        <v>Sensitive</v>
      </c>
      <c r="J12" s="17">
        <v>20</v>
      </c>
      <c r="K12" s="25" t="str">
        <f t="shared" si="4"/>
        <v>Sensitive</v>
      </c>
      <c r="L12" s="17">
        <v>25</v>
      </c>
      <c r="M12" s="27" t="str">
        <f t="shared" si="5"/>
        <v>Intermediate</v>
      </c>
      <c r="N12" s="25">
        <f t="shared" si="6"/>
        <v>0</v>
      </c>
      <c r="O12" s="25" t="str">
        <f t="shared" si="0"/>
        <v>Susceptible</v>
      </c>
    </row>
    <row r="13" spans="1:19">
      <c r="A13" s="20" t="s">
        <v>86</v>
      </c>
      <c r="B13" s="9" t="s">
        <v>62</v>
      </c>
      <c r="C13" s="21" t="s">
        <v>58</v>
      </c>
      <c r="D13" s="22">
        <v>27</v>
      </c>
      <c r="E13" s="17" t="str">
        <f t="shared" si="1"/>
        <v>Sensitive</v>
      </c>
      <c r="F13" s="22">
        <v>27</v>
      </c>
      <c r="G13" s="17" t="str">
        <f t="shared" si="2"/>
        <v>Sensitive</v>
      </c>
      <c r="H13" s="22">
        <v>20</v>
      </c>
      <c r="I13" s="9" t="str">
        <f t="shared" si="3"/>
        <v>Sensitive</v>
      </c>
      <c r="J13" s="22">
        <v>20</v>
      </c>
      <c r="K13" s="9" t="str">
        <f t="shared" si="4"/>
        <v>Sensitive</v>
      </c>
      <c r="L13" s="22">
        <v>28</v>
      </c>
      <c r="M13" s="23" t="str">
        <f t="shared" si="5"/>
        <v>Sensitive</v>
      </c>
      <c r="N13" s="9">
        <f t="shared" si="6"/>
        <v>0</v>
      </c>
      <c r="O13" s="9" t="str">
        <f t="shared" si="0"/>
        <v>Susceptible</v>
      </c>
    </row>
    <row r="14" spans="1:19">
      <c r="A14" s="24" t="s">
        <v>87</v>
      </c>
      <c r="B14" s="25" t="s">
        <v>62</v>
      </c>
      <c r="C14" s="26" t="s">
        <v>58</v>
      </c>
      <c r="D14" s="17">
        <v>22</v>
      </c>
      <c r="E14" s="17" t="str">
        <f t="shared" si="1"/>
        <v>Intermediate</v>
      </c>
      <c r="F14" s="17">
        <v>12</v>
      </c>
      <c r="G14" s="17" t="str">
        <f t="shared" si="2"/>
        <v>Resistant</v>
      </c>
      <c r="H14" s="17">
        <v>0</v>
      </c>
      <c r="I14" s="25" t="str">
        <f t="shared" si="3"/>
        <v>Resistant</v>
      </c>
      <c r="J14" s="17">
        <v>8</v>
      </c>
      <c r="K14" s="25" t="str">
        <f t="shared" si="4"/>
        <v>Resistant</v>
      </c>
      <c r="L14" s="17">
        <v>0</v>
      </c>
      <c r="M14" s="27" t="str">
        <f t="shared" si="5"/>
        <v>Resistant</v>
      </c>
      <c r="N14" s="25">
        <f t="shared" si="6"/>
        <v>4</v>
      </c>
      <c r="O14" s="25" t="str">
        <f t="shared" si="0"/>
        <v>XDR</v>
      </c>
    </row>
    <row r="15" spans="1:19">
      <c r="A15" s="20" t="s">
        <v>88</v>
      </c>
      <c r="B15" s="9" t="s">
        <v>62</v>
      </c>
      <c r="C15" s="21" t="s">
        <v>58</v>
      </c>
      <c r="D15" s="22">
        <v>22</v>
      </c>
      <c r="E15" s="17" t="str">
        <f t="shared" si="1"/>
        <v>Intermediate</v>
      </c>
      <c r="F15" s="22">
        <v>0</v>
      </c>
      <c r="G15" s="17" t="str">
        <f t="shared" si="2"/>
        <v>Resistant</v>
      </c>
      <c r="H15" s="22">
        <v>20</v>
      </c>
      <c r="I15" s="9" t="str">
        <f t="shared" si="3"/>
        <v>Sensitive</v>
      </c>
      <c r="J15" s="22">
        <v>20</v>
      </c>
      <c r="K15" s="9" t="str">
        <f t="shared" si="4"/>
        <v>Sensitive</v>
      </c>
      <c r="L15" s="22">
        <v>20</v>
      </c>
      <c r="M15" s="23" t="str">
        <f t="shared" si="5"/>
        <v>Resistant</v>
      </c>
      <c r="N15" s="9">
        <f t="shared" si="6"/>
        <v>2</v>
      </c>
      <c r="O15" s="9" t="str">
        <f t="shared" si="0"/>
        <v>Susceptible</v>
      </c>
    </row>
    <row r="16" spans="1:19">
      <c r="A16" s="24" t="s">
        <v>89</v>
      </c>
      <c r="B16" s="25" t="s">
        <v>62</v>
      </c>
      <c r="C16" s="26" t="s">
        <v>58</v>
      </c>
      <c r="D16" s="17">
        <v>24</v>
      </c>
      <c r="E16" s="17" t="str">
        <f t="shared" si="1"/>
        <v>Sensitive</v>
      </c>
      <c r="F16" s="17">
        <v>15</v>
      </c>
      <c r="G16" s="17" t="str">
        <f t="shared" si="2"/>
        <v>Resistant</v>
      </c>
      <c r="H16" s="17">
        <v>25</v>
      </c>
      <c r="I16" s="25" t="str">
        <f t="shared" si="3"/>
        <v>Sensitive</v>
      </c>
      <c r="J16" s="17">
        <v>25</v>
      </c>
      <c r="K16" s="25" t="str">
        <f t="shared" si="4"/>
        <v>Sensitive</v>
      </c>
      <c r="L16" s="17">
        <v>20</v>
      </c>
      <c r="M16" s="27" t="str">
        <f t="shared" si="5"/>
        <v>Resistant</v>
      </c>
      <c r="N16" s="25">
        <f t="shared" si="6"/>
        <v>2</v>
      </c>
      <c r="O16" s="25" t="str">
        <f t="shared" si="0"/>
        <v>Susceptible</v>
      </c>
    </row>
    <row r="17" spans="1:15">
      <c r="A17" s="20" t="s">
        <v>90</v>
      </c>
      <c r="B17" s="9" t="s">
        <v>62</v>
      </c>
      <c r="C17" s="21" t="s">
        <v>58</v>
      </c>
      <c r="D17" s="22">
        <v>35</v>
      </c>
      <c r="E17" s="17" t="str">
        <f t="shared" si="1"/>
        <v>Sensitive</v>
      </c>
      <c r="F17" s="22">
        <v>20</v>
      </c>
      <c r="G17" s="17" t="str">
        <f t="shared" si="2"/>
        <v>Intermediate</v>
      </c>
      <c r="H17" s="22">
        <v>25</v>
      </c>
      <c r="I17" s="9" t="str">
        <f t="shared" si="3"/>
        <v>Sensitive</v>
      </c>
      <c r="J17" s="22">
        <v>25</v>
      </c>
      <c r="K17" s="9" t="str">
        <f t="shared" si="4"/>
        <v>Sensitive</v>
      </c>
      <c r="L17" s="22">
        <v>30</v>
      </c>
      <c r="M17" s="23" t="str">
        <f t="shared" si="5"/>
        <v>Sensitive</v>
      </c>
      <c r="N17" s="9">
        <f t="shared" si="6"/>
        <v>0</v>
      </c>
      <c r="O17" s="9" t="str">
        <f t="shared" si="0"/>
        <v>Susceptible</v>
      </c>
    </row>
    <row r="18" spans="1:15">
      <c r="A18" s="24" t="s">
        <v>91</v>
      </c>
      <c r="B18" s="25" t="s">
        <v>62</v>
      </c>
      <c r="C18" s="26" t="s">
        <v>58</v>
      </c>
      <c r="D18" s="17">
        <v>27</v>
      </c>
      <c r="E18" s="17" t="str">
        <f t="shared" si="1"/>
        <v>Sensitive</v>
      </c>
      <c r="F18" s="17">
        <v>27</v>
      </c>
      <c r="G18" s="17" t="str">
        <f t="shared" si="2"/>
        <v>Sensitive</v>
      </c>
      <c r="H18" s="17">
        <v>20</v>
      </c>
      <c r="I18" s="25" t="str">
        <f t="shared" si="3"/>
        <v>Sensitive</v>
      </c>
      <c r="J18" s="17">
        <v>20</v>
      </c>
      <c r="K18" s="25" t="str">
        <f t="shared" si="4"/>
        <v>Sensitive</v>
      </c>
      <c r="L18" s="17">
        <v>0</v>
      </c>
      <c r="M18" s="27" t="str">
        <f t="shared" si="5"/>
        <v>Resistant</v>
      </c>
      <c r="N18" s="25">
        <f t="shared" si="6"/>
        <v>1</v>
      </c>
      <c r="O18" s="25" t="str">
        <f t="shared" si="0"/>
        <v>Susceptible</v>
      </c>
    </row>
    <row r="19" spans="1:15">
      <c r="A19" s="20" t="s">
        <v>92</v>
      </c>
      <c r="B19" s="9" t="s">
        <v>62</v>
      </c>
      <c r="C19" s="21" t="s">
        <v>58</v>
      </c>
      <c r="D19" s="22">
        <v>20</v>
      </c>
      <c r="E19" s="17" t="str">
        <f t="shared" si="1"/>
        <v>Intermediate</v>
      </c>
      <c r="F19" s="22">
        <v>22</v>
      </c>
      <c r="G19" s="17" t="str">
        <f t="shared" si="2"/>
        <v>Sensitive</v>
      </c>
      <c r="H19" s="22">
        <v>0</v>
      </c>
      <c r="I19" s="9" t="str">
        <f t="shared" si="3"/>
        <v>Resistant</v>
      </c>
      <c r="J19" s="22">
        <v>0</v>
      </c>
      <c r="K19" s="9" t="str">
        <f t="shared" si="4"/>
        <v>Resistant</v>
      </c>
      <c r="L19" s="22">
        <v>0</v>
      </c>
      <c r="M19" s="23" t="str">
        <f t="shared" si="5"/>
        <v>Resistant</v>
      </c>
      <c r="N19" s="9">
        <f t="shared" si="6"/>
        <v>3</v>
      </c>
      <c r="O19" s="9" t="str">
        <f t="shared" si="0"/>
        <v>MDR</v>
      </c>
    </row>
    <row r="20" spans="1:15">
      <c r="A20" s="24" t="s">
        <v>93</v>
      </c>
      <c r="B20" s="25" t="s">
        <v>62</v>
      </c>
      <c r="C20" s="26" t="s">
        <v>58</v>
      </c>
      <c r="D20" s="17">
        <v>25</v>
      </c>
      <c r="E20" s="17" t="str">
        <f t="shared" si="1"/>
        <v>Sensitive</v>
      </c>
      <c r="F20" s="17">
        <v>25</v>
      </c>
      <c r="G20" s="17" t="str">
        <f t="shared" si="2"/>
        <v>Sensitive</v>
      </c>
      <c r="H20" s="17">
        <v>13</v>
      </c>
      <c r="I20" s="25" t="str">
        <f t="shared" si="3"/>
        <v>Intermediate</v>
      </c>
      <c r="J20" s="17">
        <v>20</v>
      </c>
      <c r="K20" s="25" t="str">
        <f t="shared" si="4"/>
        <v>Sensitive</v>
      </c>
      <c r="L20" s="17">
        <v>22</v>
      </c>
      <c r="M20" s="27" t="str">
        <f t="shared" si="5"/>
        <v>Intermediate</v>
      </c>
      <c r="N20" s="25">
        <f t="shared" si="6"/>
        <v>0</v>
      </c>
      <c r="O20" s="25" t="str">
        <f t="shared" si="0"/>
        <v>Susceptible</v>
      </c>
    </row>
    <row r="21" spans="1:15">
      <c r="A21" s="20" t="s">
        <v>94</v>
      </c>
      <c r="B21" s="9" t="s">
        <v>62</v>
      </c>
      <c r="C21" s="21" t="s">
        <v>58</v>
      </c>
      <c r="D21" s="22">
        <v>18</v>
      </c>
      <c r="E21" s="17" t="str">
        <f t="shared" si="1"/>
        <v>Resistant</v>
      </c>
      <c r="F21" s="22">
        <v>27</v>
      </c>
      <c r="G21" s="17" t="str">
        <f t="shared" si="2"/>
        <v>Sensitive</v>
      </c>
      <c r="H21" s="22">
        <v>20</v>
      </c>
      <c r="I21" s="9" t="str">
        <f t="shared" si="3"/>
        <v>Sensitive</v>
      </c>
      <c r="J21" s="22">
        <v>0</v>
      </c>
      <c r="K21" s="9" t="str">
        <f t="shared" si="4"/>
        <v>Resistant</v>
      </c>
      <c r="L21" s="22">
        <v>25</v>
      </c>
      <c r="M21" s="23" t="str">
        <f t="shared" si="5"/>
        <v>Intermediate</v>
      </c>
      <c r="N21" s="9">
        <f t="shared" si="6"/>
        <v>2</v>
      </c>
      <c r="O21" s="9" t="str">
        <f t="shared" si="0"/>
        <v>Susceptible</v>
      </c>
    </row>
    <row r="22" spans="1:15">
      <c r="A22" s="24" t="s">
        <v>95</v>
      </c>
      <c r="B22" s="25" t="s">
        <v>62</v>
      </c>
      <c r="C22" s="26" t="s">
        <v>58</v>
      </c>
      <c r="D22" s="17">
        <v>27</v>
      </c>
      <c r="E22" s="17" t="str">
        <f t="shared" si="1"/>
        <v>Sensitive</v>
      </c>
      <c r="F22" s="17">
        <v>15</v>
      </c>
      <c r="G22" s="17" t="str">
        <f t="shared" si="2"/>
        <v>Resistant</v>
      </c>
      <c r="H22" s="17">
        <v>18</v>
      </c>
      <c r="I22" s="25" t="str">
        <f t="shared" si="3"/>
        <v>Sensitive</v>
      </c>
      <c r="J22" s="17">
        <v>15</v>
      </c>
      <c r="K22" s="25" t="str">
        <f t="shared" si="4"/>
        <v>Intermediate</v>
      </c>
      <c r="L22" s="17">
        <v>25</v>
      </c>
      <c r="M22" s="27" t="str">
        <f t="shared" si="5"/>
        <v>Intermediate</v>
      </c>
      <c r="N22" s="25">
        <f t="shared" si="6"/>
        <v>1</v>
      </c>
      <c r="O22" s="25" t="str">
        <f t="shared" si="0"/>
        <v>Susceptible</v>
      </c>
    </row>
    <row r="23" spans="1:15">
      <c r="A23" s="20" t="s">
        <v>96</v>
      </c>
      <c r="B23" s="9" t="s">
        <v>62</v>
      </c>
      <c r="C23" s="21" t="s">
        <v>58</v>
      </c>
      <c r="D23" s="22">
        <v>20</v>
      </c>
      <c r="E23" s="17" t="str">
        <f t="shared" si="1"/>
        <v>Intermediate</v>
      </c>
      <c r="F23" s="22">
        <v>22</v>
      </c>
      <c r="G23" s="17" t="str">
        <f t="shared" si="2"/>
        <v>Sensitive</v>
      </c>
      <c r="H23" s="22">
        <v>10</v>
      </c>
      <c r="I23" s="9" t="str">
        <f t="shared" si="3"/>
        <v>Resistant</v>
      </c>
      <c r="J23" s="22">
        <v>20</v>
      </c>
      <c r="K23" s="9" t="str">
        <f t="shared" si="4"/>
        <v>Sensitive</v>
      </c>
      <c r="L23" s="22">
        <v>22</v>
      </c>
      <c r="M23" s="23" t="str">
        <f t="shared" si="5"/>
        <v>Intermediate</v>
      </c>
      <c r="N23" s="9">
        <f t="shared" si="6"/>
        <v>1</v>
      </c>
      <c r="O23" s="9" t="str">
        <f t="shared" si="0"/>
        <v>Susceptible</v>
      </c>
    </row>
    <row r="24" spans="1:15">
      <c r="A24" s="24" t="s">
        <v>97</v>
      </c>
      <c r="B24" s="25" t="s">
        <v>62</v>
      </c>
      <c r="C24" s="26" t="s">
        <v>58</v>
      </c>
      <c r="D24" s="17">
        <v>16</v>
      </c>
      <c r="E24" s="17" t="str">
        <f t="shared" si="1"/>
        <v>Resistant</v>
      </c>
      <c r="F24" s="17">
        <v>25</v>
      </c>
      <c r="G24" s="17" t="str">
        <f t="shared" si="2"/>
        <v>Sensitive</v>
      </c>
      <c r="H24" s="17">
        <v>20</v>
      </c>
      <c r="I24" s="25" t="str">
        <f t="shared" si="3"/>
        <v>Sensitive</v>
      </c>
      <c r="J24" s="17">
        <v>0</v>
      </c>
      <c r="K24" s="25" t="str">
        <f t="shared" si="4"/>
        <v>Resistant</v>
      </c>
      <c r="L24" s="17">
        <v>30</v>
      </c>
      <c r="M24" s="27" t="str">
        <f t="shared" si="5"/>
        <v>Sensitive</v>
      </c>
      <c r="N24" s="25">
        <f t="shared" si="6"/>
        <v>2</v>
      </c>
      <c r="O24" s="25" t="str">
        <f t="shared" si="0"/>
        <v>Susceptible</v>
      </c>
    </row>
    <row r="25" spans="1:15">
      <c r="A25" s="20" t="s">
        <v>98</v>
      </c>
      <c r="B25" s="9" t="s">
        <v>62</v>
      </c>
      <c r="C25" s="21" t="s">
        <v>58</v>
      </c>
      <c r="D25" s="22">
        <v>20</v>
      </c>
      <c r="E25" s="17" t="str">
        <f t="shared" si="1"/>
        <v>Intermediate</v>
      </c>
      <c r="F25" s="22">
        <v>20</v>
      </c>
      <c r="G25" s="17" t="str">
        <f t="shared" si="2"/>
        <v>Intermediate</v>
      </c>
      <c r="H25" s="22">
        <v>20</v>
      </c>
      <c r="I25" s="9" t="str">
        <f t="shared" si="3"/>
        <v>Sensitive</v>
      </c>
      <c r="J25" s="22">
        <v>20</v>
      </c>
      <c r="K25" s="9" t="str">
        <f t="shared" si="4"/>
        <v>Sensitive</v>
      </c>
      <c r="L25" s="22">
        <v>20</v>
      </c>
      <c r="M25" s="23" t="str">
        <f t="shared" si="5"/>
        <v>Resistant</v>
      </c>
      <c r="N25" s="9">
        <f t="shared" si="6"/>
        <v>1</v>
      </c>
      <c r="O25" s="9" t="str">
        <f t="shared" si="0"/>
        <v>Susceptible</v>
      </c>
    </row>
    <row r="26" spans="1:15">
      <c r="A26" s="24" t="s">
        <v>99</v>
      </c>
      <c r="B26" s="25" t="s">
        <v>62</v>
      </c>
      <c r="C26" s="26" t="s">
        <v>58</v>
      </c>
      <c r="D26" s="17">
        <v>20</v>
      </c>
      <c r="E26" s="17" t="str">
        <f t="shared" si="1"/>
        <v>Intermediate</v>
      </c>
      <c r="F26" s="17">
        <v>10</v>
      </c>
      <c r="G26" s="17" t="str">
        <f t="shared" si="2"/>
        <v>Resistant</v>
      </c>
      <c r="H26" s="17">
        <v>15</v>
      </c>
      <c r="I26" s="25" t="str">
        <f t="shared" si="3"/>
        <v>Sensitive</v>
      </c>
      <c r="J26" s="17">
        <v>0</v>
      </c>
      <c r="K26" s="25" t="str">
        <f t="shared" si="4"/>
        <v>Resistant</v>
      </c>
      <c r="L26" s="17">
        <v>15</v>
      </c>
      <c r="M26" s="27" t="str">
        <f t="shared" si="5"/>
        <v>Resistant</v>
      </c>
      <c r="N26" s="25">
        <f t="shared" si="6"/>
        <v>3</v>
      </c>
      <c r="O26" s="25" t="str">
        <f t="shared" si="0"/>
        <v>MDR</v>
      </c>
    </row>
    <row r="27" spans="1:15">
      <c r="A27" s="20" t="s">
        <v>100</v>
      </c>
      <c r="B27" s="9" t="s">
        <v>62</v>
      </c>
      <c r="C27" s="21" t="s">
        <v>58</v>
      </c>
      <c r="D27" s="22">
        <v>30</v>
      </c>
      <c r="E27" s="17" t="str">
        <f t="shared" si="1"/>
        <v>Sensitive</v>
      </c>
      <c r="F27" s="22">
        <v>15</v>
      </c>
      <c r="G27" s="17" t="str">
        <f t="shared" si="2"/>
        <v>Resistant</v>
      </c>
      <c r="H27" s="22">
        <v>15</v>
      </c>
      <c r="I27" s="9" t="str">
        <f t="shared" si="3"/>
        <v>Sensitive</v>
      </c>
      <c r="J27" s="22">
        <v>12</v>
      </c>
      <c r="K27" s="9" t="str">
        <f t="shared" si="4"/>
        <v>Resistant</v>
      </c>
      <c r="L27" s="22">
        <v>0</v>
      </c>
      <c r="M27" s="23" t="str">
        <f t="shared" si="5"/>
        <v>Resistant</v>
      </c>
      <c r="N27" s="9">
        <f t="shared" si="6"/>
        <v>3</v>
      </c>
      <c r="O27" s="9" t="str">
        <f t="shared" si="0"/>
        <v>MDR</v>
      </c>
    </row>
    <row r="28" spans="1:15">
      <c r="A28" s="24" t="s">
        <v>101</v>
      </c>
      <c r="B28" s="25" t="s">
        <v>62</v>
      </c>
      <c r="C28" s="26" t="s">
        <v>58</v>
      </c>
      <c r="D28" s="17">
        <v>37</v>
      </c>
      <c r="E28" s="17" t="str">
        <f t="shared" si="1"/>
        <v>Sensitive</v>
      </c>
      <c r="F28" s="17">
        <v>15</v>
      </c>
      <c r="G28" s="17" t="str">
        <f t="shared" si="2"/>
        <v>Resistant</v>
      </c>
      <c r="H28" s="17">
        <v>20</v>
      </c>
      <c r="I28" s="25" t="str">
        <f t="shared" si="3"/>
        <v>Sensitive</v>
      </c>
      <c r="J28" s="17">
        <v>24</v>
      </c>
      <c r="K28" s="25" t="str">
        <f t="shared" si="4"/>
        <v>Sensitive</v>
      </c>
      <c r="L28" s="17">
        <v>20</v>
      </c>
      <c r="M28" s="27" t="str">
        <f t="shared" si="5"/>
        <v>Resistant</v>
      </c>
      <c r="N28" s="25">
        <f t="shared" si="6"/>
        <v>2</v>
      </c>
      <c r="O28" s="25" t="str">
        <f t="shared" si="0"/>
        <v>Susceptible</v>
      </c>
    </row>
    <row r="29" spans="1:15">
      <c r="A29" s="20" t="s">
        <v>102</v>
      </c>
      <c r="B29" s="9" t="s">
        <v>62</v>
      </c>
      <c r="C29" s="21" t="s">
        <v>58</v>
      </c>
      <c r="D29" s="22">
        <v>18</v>
      </c>
      <c r="E29" s="17" t="str">
        <f t="shared" si="1"/>
        <v>Resistant</v>
      </c>
      <c r="F29" s="22">
        <v>0</v>
      </c>
      <c r="G29" s="17" t="str">
        <f t="shared" si="2"/>
        <v>Resistant</v>
      </c>
      <c r="H29" s="22">
        <v>18</v>
      </c>
      <c r="I29" s="9" t="str">
        <f t="shared" si="3"/>
        <v>Sensitive</v>
      </c>
      <c r="J29" s="22">
        <v>10</v>
      </c>
      <c r="K29" s="9" t="str">
        <f t="shared" si="4"/>
        <v>Resistant</v>
      </c>
      <c r="L29" s="22">
        <v>22</v>
      </c>
      <c r="M29" s="23" t="str">
        <f t="shared" si="5"/>
        <v>Intermediate</v>
      </c>
      <c r="N29" s="9">
        <f t="shared" si="6"/>
        <v>3</v>
      </c>
      <c r="O29" s="9" t="str">
        <f t="shared" si="0"/>
        <v>MDR</v>
      </c>
    </row>
    <row r="30" spans="1:15">
      <c r="A30" s="24" t="s">
        <v>103</v>
      </c>
      <c r="B30" s="25" t="s">
        <v>62</v>
      </c>
      <c r="C30" s="26" t="s">
        <v>58</v>
      </c>
      <c r="D30" s="17">
        <v>21</v>
      </c>
      <c r="E30" s="17" t="str">
        <f t="shared" si="1"/>
        <v>Intermediate</v>
      </c>
      <c r="F30" s="17">
        <v>18</v>
      </c>
      <c r="G30" s="17" t="str">
        <f t="shared" si="2"/>
        <v>Intermediate</v>
      </c>
      <c r="H30" s="17">
        <v>15</v>
      </c>
      <c r="I30" s="25" t="str">
        <f t="shared" si="3"/>
        <v>Sensitive</v>
      </c>
      <c r="J30" s="17">
        <v>12</v>
      </c>
      <c r="K30" s="25" t="str">
        <f t="shared" si="4"/>
        <v>Resistant</v>
      </c>
      <c r="L30" s="17">
        <v>25</v>
      </c>
      <c r="M30" s="27" t="str">
        <f t="shared" si="5"/>
        <v>Intermediate</v>
      </c>
      <c r="N30" s="25">
        <f t="shared" si="6"/>
        <v>1</v>
      </c>
      <c r="O30" s="25" t="str">
        <f t="shared" si="0"/>
        <v>Susceptible</v>
      </c>
    </row>
    <row r="31" spans="1:15">
      <c r="A31" s="20" t="s">
        <v>104</v>
      </c>
      <c r="B31" s="9" t="s">
        <v>62</v>
      </c>
      <c r="C31" s="21" t="s">
        <v>58</v>
      </c>
      <c r="D31" s="22">
        <v>20</v>
      </c>
      <c r="E31" s="17" t="str">
        <f t="shared" si="1"/>
        <v>Intermediate</v>
      </c>
      <c r="F31" s="22">
        <v>0</v>
      </c>
      <c r="G31" s="17" t="str">
        <f t="shared" si="2"/>
        <v>Resistant</v>
      </c>
      <c r="H31" s="22">
        <v>12</v>
      </c>
      <c r="I31" s="9" t="str">
        <f t="shared" si="3"/>
        <v>Resistant</v>
      </c>
      <c r="J31" s="22">
        <v>7</v>
      </c>
      <c r="K31" s="9" t="str">
        <f t="shared" si="4"/>
        <v>Resistant</v>
      </c>
      <c r="L31" s="22">
        <v>10</v>
      </c>
      <c r="M31" s="23" t="str">
        <f t="shared" si="5"/>
        <v>Resistant</v>
      </c>
      <c r="N31" s="9">
        <f t="shared" si="6"/>
        <v>4</v>
      </c>
      <c r="O31" s="9" t="str">
        <f t="shared" si="0"/>
        <v>XDR</v>
      </c>
    </row>
    <row r="32" spans="1:15">
      <c r="A32" s="24" t="s">
        <v>105</v>
      </c>
      <c r="B32" s="25" t="s">
        <v>62</v>
      </c>
      <c r="C32" s="26" t="s">
        <v>58</v>
      </c>
      <c r="D32" s="17">
        <v>20</v>
      </c>
      <c r="E32" s="17" t="str">
        <f t="shared" si="1"/>
        <v>Intermediate</v>
      </c>
      <c r="F32" s="17">
        <v>20</v>
      </c>
      <c r="G32" s="17" t="str">
        <f t="shared" si="2"/>
        <v>Intermediate</v>
      </c>
      <c r="H32" s="17">
        <v>19</v>
      </c>
      <c r="I32" s="25" t="str">
        <f t="shared" si="3"/>
        <v>Sensitive</v>
      </c>
      <c r="J32" s="17">
        <v>15</v>
      </c>
      <c r="K32" s="25" t="str">
        <f t="shared" si="4"/>
        <v>Intermediate</v>
      </c>
      <c r="L32" s="17">
        <v>25</v>
      </c>
      <c r="M32" s="27" t="str">
        <f t="shared" si="5"/>
        <v>Intermediate</v>
      </c>
      <c r="N32" s="25">
        <f t="shared" si="6"/>
        <v>0</v>
      </c>
      <c r="O32" s="25" t="str">
        <f t="shared" si="0"/>
        <v>Susceptible</v>
      </c>
    </row>
    <row r="33" spans="1:15">
      <c r="A33" s="20" t="s">
        <v>106</v>
      </c>
      <c r="B33" s="9" t="s">
        <v>62</v>
      </c>
      <c r="C33" s="21" t="s">
        <v>60</v>
      </c>
      <c r="D33" s="22">
        <v>25</v>
      </c>
      <c r="E33" s="17" t="str">
        <f t="shared" si="1"/>
        <v>Sensitive</v>
      </c>
      <c r="F33" s="22">
        <v>10</v>
      </c>
      <c r="G33" s="17" t="str">
        <f t="shared" si="2"/>
        <v>Resistant</v>
      </c>
      <c r="H33" s="22">
        <v>19</v>
      </c>
      <c r="I33" s="9" t="str">
        <f t="shared" si="3"/>
        <v>Sensitive</v>
      </c>
      <c r="J33" s="22">
        <v>23</v>
      </c>
      <c r="K33" s="9" t="str">
        <f t="shared" si="4"/>
        <v>Sensitive</v>
      </c>
      <c r="L33" s="22">
        <v>25</v>
      </c>
      <c r="M33" s="28" t="str">
        <f t="shared" si="5"/>
        <v>Intermediate</v>
      </c>
      <c r="N33" s="9">
        <f t="shared" si="6"/>
        <v>1</v>
      </c>
      <c r="O33" s="9" t="str">
        <f t="shared" si="0"/>
        <v>Susceptible</v>
      </c>
    </row>
    <row r="34" spans="1:15">
      <c r="A34" s="24" t="s">
        <v>107</v>
      </c>
      <c r="B34" s="25" t="s">
        <v>62</v>
      </c>
      <c r="C34" s="26" t="s">
        <v>60</v>
      </c>
      <c r="D34" s="25">
        <v>26</v>
      </c>
      <c r="E34" s="17" t="str">
        <f t="shared" si="1"/>
        <v>Sensitive</v>
      </c>
      <c r="F34" s="25">
        <v>10</v>
      </c>
      <c r="G34" s="17" t="str">
        <f t="shared" si="2"/>
        <v>Resistant</v>
      </c>
      <c r="H34" s="25">
        <v>21</v>
      </c>
      <c r="I34" s="25" t="str">
        <f t="shared" si="3"/>
        <v>Sensitive</v>
      </c>
      <c r="J34" s="25">
        <v>24</v>
      </c>
      <c r="K34" s="25" t="str">
        <f t="shared" si="4"/>
        <v>Sensitive</v>
      </c>
      <c r="L34" s="25">
        <v>25</v>
      </c>
      <c r="M34" s="29" t="str">
        <f t="shared" si="5"/>
        <v>Intermediate</v>
      </c>
      <c r="N34" s="25">
        <f t="shared" si="6"/>
        <v>1</v>
      </c>
      <c r="O34" s="25" t="str">
        <f t="shared" si="0"/>
        <v>Susceptible</v>
      </c>
    </row>
    <row r="35" spans="1:15">
      <c r="A35" s="20" t="s">
        <v>108</v>
      </c>
      <c r="B35" s="9" t="s">
        <v>62</v>
      </c>
      <c r="C35" s="21" t="s">
        <v>60</v>
      </c>
      <c r="D35" s="9">
        <v>20</v>
      </c>
      <c r="E35" s="17" t="str">
        <f t="shared" si="1"/>
        <v>Intermediate</v>
      </c>
      <c r="F35" s="9">
        <v>0</v>
      </c>
      <c r="G35" s="17" t="str">
        <f t="shared" si="2"/>
        <v>Resistant</v>
      </c>
      <c r="H35" s="9">
        <v>12</v>
      </c>
      <c r="I35" s="9" t="str">
        <f t="shared" si="3"/>
        <v>Resistant</v>
      </c>
      <c r="J35" s="9">
        <v>16</v>
      </c>
      <c r="K35" s="9" t="str">
        <f t="shared" si="4"/>
        <v>Intermediate</v>
      </c>
      <c r="L35" s="9">
        <v>21</v>
      </c>
      <c r="M35" s="28" t="str">
        <f t="shared" si="5"/>
        <v>Resistant</v>
      </c>
      <c r="N35" s="9">
        <f t="shared" si="6"/>
        <v>3</v>
      </c>
      <c r="O35" s="9" t="str">
        <f t="shared" si="0"/>
        <v>MDR</v>
      </c>
    </row>
    <row r="36" spans="1:15">
      <c r="A36" s="24" t="s">
        <v>109</v>
      </c>
      <c r="B36" s="25" t="s">
        <v>62</v>
      </c>
      <c r="C36" s="26" t="s">
        <v>60</v>
      </c>
      <c r="D36" s="25">
        <v>22</v>
      </c>
      <c r="E36" s="17" t="str">
        <f t="shared" si="1"/>
        <v>Intermediate</v>
      </c>
      <c r="F36" s="25">
        <v>0</v>
      </c>
      <c r="G36" s="17" t="str">
        <f t="shared" si="2"/>
        <v>Resistant</v>
      </c>
      <c r="H36" s="25">
        <v>18</v>
      </c>
      <c r="I36" s="25" t="str">
        <f t="shared" si="3"/>
        <v>Sensitive</v>
      </c>
      <c r="J36" s="25">
        <v>0</v>
      </c>
      <c r="K36" s="25" t="str">
        <f t="shared" si="4"/>
        <v>Resistant</v>
      </c>
      <c r="L36" s="25">
        <v>20</v>
      </c>
      <c r="M36" s="29" t="str">
        <f t="shared" si="5"/>
        <v>Resistant</v>
      </c>
      <c r="N36" s="25">
        <f t="shared" si="6"/>
        <v>3</v>
      </c>
      <c r="O36" s="25" t="str">
        <f t="shared" si="0"/>
        <v>MDR</v>
      </c>
    </row>
    <row r="37" spans="1:15">
      <c r="A37" s="20" t="s">
        <v>110</v>
      </c>
      <c r="B37" s="9" t="s">
        <v>62</v>
      </c>
      <c r="C37" s="21" t="s">
        <v>60</v>
      </c>
      <c r="D37" s="9">
        <v>16</v>
      </c>
      <c r="E37" s="17" t="str">
        <f t="shared" si="1"/>
        <v>Resistant</v>
      </c>
      <c r="F37" s="9">
        <v>9</v>
      </c>
      <c r="G37" s="17" t="str">
        <f t="shared" si="2"/>
        <v>Resistant</v>
      </c>
      <c r="H37" s="9">
        <v>16</v>
      </c>
      <c r="I37" s="9" t="str">
        <f t="shared" si="3"/>
        <v>Sensitive</v>
      </c>
      <c r="J37" s="9">
        <v>18</v>
      </c>
      <c r="K37" s="9" t="str">
        <f t="shared" si="4"/>
        <v>Sensitive</v>
      </c>
      <c r="L37" s="9">
        <v>22</v>
      </c>
      <c r="M37" s="28" t="str">
        <f t="shared" si="5"/>
        <v>Intermediate</v>
      </c>
      <c r="N37" s="9">
        <f t="shared" si="6"/>
        <v>2</v>
      </c>
      <c r="O37" s="9" t="str">
        <f t="shared" si="0"/>
        <v>Susceptible</v>
      </c>
    </row>
    <row r="38" spans="1:15">
      <c r="A38" s="24" t="s">
        <v>111</v>
      </c>
      <c r="B38" s="25" t="s">
        <v>62</v>
      </c>
      <c r="C38" s="26" t="s">
        <v>60</v>
      </c>
      <c r="D38" s="25">
        <v>18</v>
      </c>
      <c r="E38" s="17" t="str">
        <f t="shared" si="1"/>
        <v>Resistant</v>
      </c>
      <c r="F38" s="25">
        <v>10</v>
      </c>
      <c r="G38" s="17" t="str">
        <f t="shared" si="2"/>
        <v>Resistant</v>
      </c>
      <c r="H38" s="25">
        <v>19</v>
      </c>
      <c r="I38" s="25" t="str">
        <f t="shared" si="3"/>
        <v>Sensitive</v>
      </c>
      <c r="J38" s="25">
        <v>8</v>
      </c>
      <c r="K38" s="25" t="str">
        <f t="shared" si="4"/>
        <v>Resistant</v>
      </c>
      <c r="L38" s="25">
        <v>23</v>
      </c>
      <c r="M38" s="29" t="str">
        <f t="shared" si="5"/>
        <v>Intermediate</v>
      </c>
      <c r="N38" s="25">
        <f t="shared" si="6"/>
        <v>3</v>
      </c>
      <c r="O38" s="25" t="str">
        <f t="shared" si="0"/>
        <v>MDR</v>
      </c>
    </row>
    <row r="39" spans="1:15">
      <c r="A39" s="20" t="s">
        <v>112</v>
      </c>
      <c r="B39" s="9" t="s">
        <v>62</v>
      </c>
      <c r="C39" s="21" t="s">
        <v>60</v>
      </c>
      <c r="D39" s="9">
        <v>22</v>
      </c>
      <c r="E39" s="17" t="str">
        <f t="shared" si="1"/>
        <v>Intermediate</v>
      </c>
      <c r="F39" s="9">
        <v>11</v>
      </c>
      <c r="G39" s="17" t="str">
        <f t="shared" si="2"/>
        <v>Resistant</v>
      </c>
      <c r="H39" s="9">
        <v>18</v>
      </c>
      <c r="I39" s="9" t="str">
        <f t="shared" si="3"/>
        <v>Sensitive</v>
      </c>
      <c r="J39" s="9">
        <v>19</v>
      </c>
      <c r="K39" s="9" t="str">
        <f t="shared" si="4"/>
        <v>Sensitive</v>
      </c>
      <c r="L39" s="9">
        <v>25</v>
      </c>
      <c r="M39" s="28" t="str">
        <f t="shared" si="5"/>
        <v>Intermediate</v>
      </c>
      <c r="N39" s="9">
        <f t="shared" si="6"/>
        <v>1</v>
      </c>
      <c r="O39" s="9" t="str">
        <f t="shared" si="0"/>
        <v>Susceptible</v>
      </c>
    </row>
    <row r="40" spans="1:15">
      <c r="A40" s="24" t="s">
        <v>113</v>
      </c>
      <c r="B40" s="25" t="s">
        <v>62</v>
      </c>
      <c r="C40" s="26" t="s">
        <v>60</v>
      </c>
      <c r="D40" s="25">
        <v>28</v>
      </c>
      <c r="E40" s="17" t="str">
        <f t="shared" si="1"/>
        <v>Sensitive</v>
      </c>
      <c r="F40" s="25">
        <v>0</v>
      </c>
      <c r="G40" s="17" t="str">
        <f t="shared" si="2"/>
        <v>Resistant</v>
      </c>
      <c r="H40" s="25">
        <v>20</v>
      </c>
      <c r="I40" s="25" t="str">
        <f t="shared" si="3"/>
        <v>Sensitive</v>
      </c>
      <c r="J40" s="25">
        <v>10</v>
      </c>
      <c r="K40" s="25" t="str">
        <f t="shared" si="4"/>
        <v>Resistant</v>
      </c>
      <c r="L40" s="25">
        <v>0</v>
      </c>
      <c r="M40" s="29" t="str">
        <f t="shared" si="5"/>
        <v>Resistant</v>
      </c>
      <c r="N40" s="25">
        <f t="shared" si="6"/>
        <v>3</v>
      </c>
      <c r="O40" s="25" t="str">
        <f t="shared" si="0"/>
        <v>MDR</v>
      </c>
    </row>
    <row r="41" spans="1:15">
      <c r="A41" s="20" t="s">
        <v>114</v>
      </c>
      <c r="B41" s="9" t="s">
        <v>62</v>
      </c>
      <c r="C41" s="21" t="s">
        <v>60</v>
      </c>
      <c r="D41" s="9">
        <v>19</v>
      </c>
      <c r="E41" s="17" t="str">
        <f t="shared" si="1"/>
        <v>Resistant</v>
      </c>
      <c r="F41" s="9">
        <v>8</v>
      </c>
      <c r="G41" s="17" t="str">
        <f t="shared" si="2"/>
        <v>Resistant</v>
      </c>
      <c r="H41" s="9">
        <v>20</v>
      </c>
      <c r="I41" s="9" t="str">
        <f t="shared" si="3"/>
        <v>Sensitive</v>
      </c>
      <c r="J41" s="9">
        <v>12</v>
      </c>
      <c r="K41" s="9" t="str">
        <f t="shared" si="4"/>
        <v>Resistant</v>
      </c>
      <c r="L41" s="9">
        <v>0</v>
      </c>
      <c r="M41" s="28" t="str">
        <f t="shared" si="5"/>
        <v>Resistant</v>
      </c>
      <c r="N41" s="9">
        <f t="shared" si="6"/>
        <v>4</v>
      </c>
      <c r="O41" s="9" t="str">
        <f t="shared" si="0"/>
        <v>XDR</v>
      </c>
    </row>
    <row r="42" spans="1:15">
      <c r="A42" s="24" t="s">
        <v>115</v>
      </c>
      <c r="B42" s="25" t="s">
        <v>62</v>
      </c>
      <c r="C42" s="26" t="s">
        <v>60</v>
      </c>
      <c r="D42" s="25">
        <v>20</v>
      </c>
      <c r="E42" s="17" t="str">
        <f t="shared" si="1"/>
        <v>Intermediate</v>
      </c>
      <c r="F42" s="25">
        <v>0</v>
      </c>
      <c r="G42" s="17" t="str">
        <f t="shared" si="2"/>
        <v>Resistant</v>
      </c>
      <c r="H42" s="25">
        <v>17</v>
      </c>
      <c r="I42" s="25" t="str">
        <f t="shared" si="3"/>
        <v>Sensitive</v>
      </c>
      <c r="J42" s="25">
        <v>7</v>
      </c>
      <c r="K42" s="25" t="str">
        <f t="shared" si="4"/>
        <v>Resistant</v>
      </c>
      <c r="L42" s="25">
        <v>22</v>
      </c>
      <c r="M42" s="29" t="str">
        <f t="shared" si="5"/>
        <v>Intermediate</v>
      </c>
      <c r="N42" s="25">
        <f t="shared" si="6"/>
        <v>2</v>
      </c>
      <c r="O42" s="25" t="str">
        <f t="shared" si="0"/>
        <v>Susceptible</v>
      </c>
    </row>
    <row r="43" spans="1:15">
      <c r="A43" s="20" t="s">
        <v>116</v>
      </c>
      <c r="B43" s="9" t="s">
        <v>62</v>
      </c>
      <c r="C43" s="21" t="s">
        <v>60</v>
      </c>
      <c r="D43" s="9">
        <v>22</v>
      </c>
      <c r="E43" s="17" t="str">
        <f t="shared" si="1"/>
        <v>Intermediate</v>
      </c>
      <c r="F43" s="9">
        <v>24</v>
      </c>
      <c r="G43" s="17" t="str">
        <f t="shared" si="2"/>
        <v>Sensitive</v>
      </c>
      <c r="H43" s="9">
        <v>11</v>
      </c>
      <c r="I43" s="9" t="str">
        <f t="shared" si="3"/>
        <v>Resistant</v>
      </c>
      <c r="J43" s="9">
        <v>9</v>
      </c>
      <c r="K43" s="9" t="str">
        <f t="shared" si="4"/>
        <v>Resistant</v>
      </c>
      <c r="L43" s="9">
        <v>20</v>
      </c>
      <c r="M43" s="28" t="str">
        <f t="shared" si="5"/>
        <v>Resistant</v>
      </c>
      <c r="N43" s="9">
        <f t="shared" si="6"/>
        <v>3</v>
      </c>
      <c r="O43" s="9" t="str">
        <f t="shared" si="0"/>
        <v>MDR</v>
      </c>
    </row>
    <row r="44" spans="1:15">
      <c r="A44" s="24" t="s">
        <v>117</v>
      </c>
      <c r="B44" s="25" t="s">
        <v>62</v>
      </c>
      <c r="C44" s="26" t="s">
        <v>60</v>
      </c>
      <c r="D44" s="25">
        <v>16</v>
      </c>
      <c r="E44" s="17" t="str">
        <f t="shared" si="1"/>
        <v>Resistant</v>
      </c>
      <c r="F44" s="25">
        <v>0</v>
      </c>
      <c r="G44" s="17" t="str">
        <f t="shared" si="2"/>
        <v>Resistant</v>
      </c>
      <c r="H44" s="25">
        <v>0</v>
      </c>
      <c r="I44" s="25" t="str">
        <f t="shared" si="3"/>
        <v>Resistant</v>
      </c>
      <c r="J44" s="25">
        <v>8</v>
      </c>
      <c r="K44" s="25" t="str">
        <f t="shared" si="4"/>
        <v>Resistant</v>
      </c>
      <c r="L44" s="25">
        <v>21</v>
      </c>
      <c r="M44" s="29" t="str">
        <f t="shared" si="5"/>
        <v>Resistant</v>
      </c>
      <c r="N44" s="25">
        <f t="shared" si="6"/>
        <v>5</v>
      </c>
      <c r="O44" s="25" t="str">
        <f t="shared" si="0"/>
        <v>XDR*</v>
      </c>
    </row>
    <row r="45" spans="1:15">
      <c r="A45" s="20" t="s">
        <v>118</v>
      </c>
      <c r="B45" s="9" t="s">
        <v>62</v>
      </c>
      <c r="C45" s="21" t="s">
        <v>60</v>
      </c>
      <c r="D45" s="9">
        <v>17</v>
      </c>
      <c r="E45" s="17" t="str">
        <f t="shared" si="1"/>
        <v>Resistant</v>
      </c>
      <c r="F45" s="9">
        <v>0</v>
      </c>
      <c r="G45" s="17" t="str">
        <f t="shared" si="2"/>
        <v>Resistant</v>
      </c>
      <c r="H45" s="9">
        <v>0</v>
      </c>
      <c r="I45" s="9" t="str">
        <f t="shared" si="3"/>
        <v>Resistant</v>
      </c>
      <c r="J45" s="9">
        <v>12</v>
      </c>
      <c r="K45" s="9" t="str">
        <f t="shared" si="4"/>
        <v>Resistant</v>
      </c>
      <c r="L45" s="9">
        <v>20</v>
      </c>
      <c r="M45" s="28" t="str">
        <f t="shared" si="5"/>
        <v>Resistant</v>
      </c>
      <c r="N45" s="9">
        <f t="shared" si="6"/>
        <v>5</v>
      </c>
      <c r="O45" s="9" t="str">
        <f t="shared" si="0"/>
        <v>XDR*</v>
      </c>
    </row>
    <row r="46" spans="1:15">
      <c r="A46" s="24" t="s">
        <v>119</v>
      </c>
      <c r="B46" s="25" t="s">
        <v>62</v>
      </c>
      <c r="C46" s="26" t="s">
        <v>60</v>
      </c>
      <c r="D46" s="25">
        <v>18</v>
      </c>
      <c r="E46" s="17" t="str">
        <f t="shared" si="1"/>
        <v>Resistant</v>
      </c>
      <c r="F46" s="25">
        <v>11</v>
      </c>
      <c r="G46" s="17" t="str">
        <f t="shared" si="2"/>
        <v>Resistant</v>
      </c>
      <c r="H46" s="25">
        <v>20</v>
      </c>
      <c r="I46" s="25" t="str">
        <f t="shared" si="3"/>
        <v>Sensitive</v>
      </c>
      <c r="J46" s="25">
        <v>15</v>
      </c>
      <c r="K46" s="25" t="str">
        <f t="shared" si="4"/>
        <v>Intermediate</v>
      </c>
      <c r="L46" s="25">
        <v>24</v>
      </c>
      <c r="M46" s="29" t="str">
        <f t="shared" si="5"/>
        <v>Intermediate</v>
      </c>
      <c r="N46" s="25">
        <f t="shared" si="6"/>
        <v>2</v>
      </c>
      <c r="O46" s="25" t="str">
        <f t="shared" si="0"/>
        <v>Susceptible</v>
      </c>
    </row>
    <row r="47" spans="1:15">
      <c r="A47" s="20" t="s">
        <v>120</v>
      </c>
      <c r="B47" s="9" t="s">
        <v>62</v>
      </c>
      <c r="C47" s="21" t="s">
        <v>60</v>
      </c>
      <c r="D47" s="9">
        <v>26</v>
      </c>
      <c r="E47" s="17" t="str">
        <f t="shared" si="1"/>
        <v>Sensitive</v>
      </c>
      <c r="F47" s="9">
        <v>11</v>
      </c>
      <c r="G47" s="17" t="str">
        <f t="shared" si="2"/>
        <v>Resistant</v>
      </c>
      <c r="H47" s="9">
        <v>21</v>
      </c>
      <c r="I47" s="9" t="str">
        <f t="shared" si="3"/>
        <v>Sensitive</v>
      </c>
      <c r="J47" s="9">
        <v>10</v>
      </c>
      <c r="K47" s="9" t="str">
        <f t="shared" si="4"/>
        <v>Resistant</v>
      </c>
      <c r="L47" s="9">
        <v>23</v>
      </c>
      <c r="M47" s="28" t="str">
        <f t="shared" si="5"/>
        <v>Intermediate</v>
      </c>
      <c r="N47" s="9">
        <f t="shared" si="6"/>
        <v>2</v>
      </c>
      <c r="O47" s="9" t="str">
        <f t="shared" si="0"/>
        <v>Susceptible</v>
      </c>
    </row>
    <row r="48" spans="1:15">
      <c r="A48" s="24" t="s">
        <v>121</v>
      </c>
      <c r="B48" s="25" t="s">
        <v>62</v>
      </c>
      <c r="C48" s="26" t="s">
        <v>60</v>
      </c>
      <c r="D48" s="25">
        <v>15</v>
      </c>
      <c r="E48" s="17" t="str">
        <f t="shared" si="1"/>
        <v>Resistant</v>
      </c>
      <c r="F48" s="25">
        <v>0</v>
      </c>
      <c r="G48" s="17" t="str">
        <f t="shared" si="2"/>
        <v>Resistant</v>
      </c>
      <c r="H48" s="25">
        <v>20</v>
      </c>
      <c r="I48" s="25" t="str">
        <f t="shared" si="3"/>
        <v>Sensitive</v>
      </c>
      <c r="J48" s="25">
        <v>0</v>
      </c>
      <c r="K48" s="25" t="str">
        <f t="shared" si="4"/>
        <v>Resistant</v>
      </c>
      <c r="L48" s="25">
        <v>28</v>
      </c>
      <c r="M48" s="29" t="str">
        <f t="shared" si="5"/>
        <v>Sensitive</v>
      </c>
      <c r="N48" s="25">
        <f t="shared" si="6"/>
        <v>3</v>
      </c>
      <c r="O48" s="25" t="str">
        <f t="shared" si="0"/>
        <v>MDR</v>
      </c>
    </row>
    <row r="49" spans="1:15">
      <c r="A49" s="20" t="s">
        <v>122</v>
      </c>
      <c r="B49" s="9" t="s">
        <v>62</v>
      </c>
      <c r="C49" s="21" t="s">
        <v>60</v>
      </c>
      <c r="D49" s="9">
        <v>21</v>
      </c>
      <c r="E49" s="17" t="str">
        <f t="shared" si="1"/>
        <v>Intermediate</v>
      </c>
      <c r="F49" s="9">
        <v>0</v>
      </c>
      <c r="G49" s="17" t="str">
        <f t="shared" si="2"/>
        <v>Resistant</v>
      </c>
      <c r="H49" s="9">
        <v>0</v>
      </c>
      <c r="I49" s="9" t="str">
        <f t="shared" si="3"/>
        <v>Resistant</v>
      </c>
      <c r="J49" s="9">
        <v>20</v>
      </c>
      <c r="K49" s="9" t="str">
        <f t="shared" si="4"/>
        <v>Sensitive</v>
      </c>
      <c r="L49" s="9">
        <v>22</v>
      </c>
      <c r="M49" s="28" t="str">
        <f t="shared" si="5"/>
        <v>Intermediate</v>
      </c>
      <c r="N49" s="9">
        <f t="shared" si="6"/>
        <v>2</v>
      </c>
      <c r="O49" s="9" t="str">
        <f t="shared" si="0"/>
        <v>Susceptible</v>
      </c>
    </row>
    <row r="50" spans="1:15">
      <c r="A50" s="24" t="s">
        <v>123</v>
      </c>
      <c r="B50" s="25" t="s">
        <v>62</v>
      </c>
      <c r="C50" s="26" t="s">
        <v>60</v>
      </c>
      <c r="D50" s="25">
        <v>20</v>
      </c>
      <c r="E50" s="17" t="str">
        <f t="shared" si="1"/>
        <v>Intermediate</v>
      </c>
      <c r="F50" s="25">
        <v>10</v>
      </c>
      <c r="G50" s="17" t="str">
        <f t="shared" si="2"/>
        <v>Resistant</v>
      </c>
      <c r="H50" s="25">
        <v>18</v>
      </c>
      <c r="I50" s="25" t="str">
        <f t="shared" si="3"/>
        <v>Sensitive</v>
      </c>
      <c r="J50" s="25">
        <v>0</v>
      </c>
      <c r="K50" s="25" t="str">
        <f t="shared" si="4"/>
        <v>Resistant</v>
      </c>
      <c r="L50" s="25">
        <v>22</v>
      </c>
      <c r="M50" s="29" t="str">
        <f t="shared" si="5"/>
        <v>Intermediate</v>
      </c>
      <c r="N50" s="25">
        <f t="shared" si="6"/>
        <v>2</v>
      </c>
      <c r="O50" s="25" t="str">
        <f t="shared" si="0"/>
        <v>Susceptible</v>
      </c>
    </row>
    <row r="51" spans="1:15">
      <c r="A51" s="20" t="s">
        <v>124</v>
      </c>
      <c r="B51" s="9" t="s">
        <v>62</v>
      </c>
      <c r="C51" s="21" t="s">
        <v>59</v>
      </c>
      <c r="D51" s="9">
        <v>23</v>
      </c>
      <c r="E51" s="17" t="str">
        <f t="shared" si="1"/>
        <v>Sensitive</v>
      </c>
      <c r="F51" s="9">
        <v>0</v>
      </c>
      <c r="G51" s="17" t="str">
        <f t="shared" si="2"/>
        <v>Resistant</v>
      </c>
      <c r="H51" s="9">
        <v>18</v>
      </c>
      <c r="I51" s="9" t="str">
        <f t="shared" si="3"/>
        <v>Sensitive</v>
      </c>
      <c r="J51" s="9">
        <v>7</v>
      </c>
      <c r="K51" s="9" t="str">
        <f t="shared" si="4"/>
        <v>Resistant</v>
      </c>
      <c r="L51" s="9">
        <v>25</v>
      </c>
      <c r="M51" s="28" t="str">
        <f t="shared" si="5"/>
        <v>Intermediate</v>
      </c>
      <c r="N51" s="9">
        <f t="shared" si="6"/>
        <v>2</v>
      </c>
      <c r="O51" s="9" t="str">
        <f t="shared" si="0"/>
        <v>Susceptible</v>
      </c>
    </row>
    <row r="52" spans="1:15">
      <c r="A52" s="24" t="s">
        <v>125</v>
      </c>
      <c r="B52" s="25" t="s">
        <v>62</v>
      </c>
      <c r="C52" s="26" t="s">
        <v>59</v>
      </c>
      <c r="D52" s="25">
        <v>15</v>
      </c>
      <c r="E52" s="17" t="str">
        <f t="shared" si="1"/>
        <v>Resistant</v>
      </c>
      <c r="F52" s="25">
        <v>0</v>
      </c>
      <c r="G52" s="17" t="str">
        <f t="shared" si="2"/>
        <v>Resistant</v>
      </c>
      <c r="H52" s="25">
        <v>0</v>
      </c>
      <c r="I52" s="25" t="str">
        <f t="shared" si="3"/>
        <v>Resistant</v>
      </c>
      <c r="J52" s="25">
        <v>0</v>
      </c>
      <c r="K52" s="25" t="str">
        <f t="shared" si="4"/>
        <v>Resistant</v>
      </c>
      <c r="L52" s="25">
        <v>24</v>
      </c>
      <c r="M52" s="29" t="str">
        <f t="shared" si="5"/>
        <v>Intermediate</v>
      </c>
      <c r="N52" s="25">
        <f t="shared" si="6"/>
        <v>4</v>
      </c>
      <c r="O52" s="25" t="str">
        <f t="shared" si="0"/>
        <v>XDR</v>
      </c>
    </row>
    <row r="53" spans="1:15">
      <c r="A53" s="20" t="s">
        <v>126</v>
      </c>
      <c r="B53" s="9" t="s">
        <v>62</v>
      </c>
      <c r="C53" s="21" t="s">
        <v>59</v>
      </c>
      <c r="D53" s="9">
        <v>25</v>
      </c>
      <c r="E53" s="17" t="str">
        <f t="shared" si="1"/>
        <v>Sensitive</v>
      </c>
      <c r="F53" s="9">
        <v>9</v>
      </c>
      <c r="G53" s="17" t="str">
        <f t="shared" si="2"/>
        <v>Resistant</v>
      </c>
      <c r="H53" s="9">
        <v>19</v>
      </c>
      <c r="I53" s="9" t="str">
        <f t="shared" si="3"/>
        <v>Sensitive</v>
      </c>
      <c r="J53" s="9">
        <v>20</v>
      </c>
      <c r="K53" s="9" t="str">
        <f t="shared" si="4"/>
        <v>Sensitive</v>
      </c>
      <c r="L53" s="9">
        <v>25</v>
      </c>
      <c r="M53" s="28" t="str">
        <f t="shared" si="5"/>
        <v>Intermediate</v>
      </c>
      <c r="N53" s="9">
        <f t="shared" si="6"/>
        <v>1</v>
      </c>
      <c r="O53" s="9" t="str">
        <f t="shared" si="0"/>
        <v>Susceptible</v>
      </c>
    </row>
    <row r="54" spans="1:15">
      <c r="A54" s="24" t="s">
        <v>127</v>
      </c>
      <c r="B54" s="25" t="s">
        <v>62</v>
      </c>
      <c r="C54" s="26" t="s">
        <v>59</v>
      </c>
      <c r="D54" s="25">
        <v>24</v>
      </c>
      <c r="E54" s="17" t="str">
        <f t="shared" si="1"/>
        <v>Sensitive</v>
      </c>
      <c r="F54" s="25">
        <v>0</v>
      </c>
      <c r="G54" s="17" t="str">
        <f t="shared" si="2"/>
        <v>Resistant</v>
      </c>
      <c r="H54" s="25">
        <v>19</v>
      </c>
      <c r="I54" s="25" t="str">
        <f t="shared" si="3"/>
        <v>Sensitive</v>
      </c>
      <c r="J54" s="25">
        <v>9</v>
      </c>
      <c r="K54" s="25" t="str">
        <f t="shared" si="4"/>
        <v>Resistant</v>
      </c>
      <c r="L54" s="25">
        <v>23</v>
      </c>
      <c r="M54" s="29" t="str">
        <f t="shared" si="5"/>
        <v>Intermediate</v>
      </c>
      <c r="N54" s="25">
        <f t="shared" si="6"/>
        <v>2</v>
      </c>
      <c r="O54" s="25" t="str">
        <f t="shared" si="0"/>
        <v>Susceptible</v>
      </c>
    </row>
    <row r="55" spans="1:15">
      <c r="A55" s="20" t="s">
        <v>128</v>
      </c>
      <c r="B55" s="9" t="s">
        <v>62</v>
      </c>
      <c r="C55" s="21" t="s">
        <v>59</v>
      </c>
      <c r="D55" s="9">
        <v>26</v>
      </c>
      <c r="E55" s="17" t="str">
        <f t="shared" si="1"/>
        <v>Sensitive</v>
      </c>
      <c r="F55" s="9">
        <v>11</v>
      </c>
      <c r="G55" s="17" t="str">
        <f t="shared" si="2"/>
        <v>Resistant</v>
      </c>
      <c r="H55" s="9">
        <v>19</v>
      </c>
      <c r="I55" s="9" t="str">
        <f t="shared" si="3"/>
        <v>Sensitive</v>
      </c>
      <c r="J55" s="9">
        <v>20</v>
      </c>
      <c r="K55" s="9" t="str">
        <f t="shared" si="4"/>
        <v>Sensitive</v>
      </c>
      <c r="L55" s="9">
        <v>21</v>
      </c>
      <c r="M55" s="28" t="str">
        <f t="shared" si="5"/>
        <v>Resistant</v>
      </c>
      <c r="N55" s="9">
        <f t="shared" si="6"/>
        <v>2</v>
      </c>
      <c r="O55" s="9" t="str">
        <f t="shared" si="0"/>
        <v>Susceptible</v>
      </c>
    </row>
    <row r="56" spans="1:15">
      <c r="A56" s="24" t="s">
        <v>129</v>
      </c>
      <c r="B56" s="25" t="s">
        <v>62</v>
      </c>
      <c r="C56" s="26" t="s">
        <v>59</v>
      </c>
      <c r="D56" s="25">
        <v>40</v>
      </c>
      <c r="E56" s="17" t="str">
        <f t="shared" si="1"/>
        <v>Sensitive</v>
      </c>
      <c r="F56" s="25">
        <v>0</v>
      </c>
      <c r="G56" s="17" t="str">
        <f t="shared" si="2"/>
        <v>Resistant</v>
      </c>
      <c r="H56" s="25">
        <v>20</v>
      </c>
      <c r="I56" s="25" t="str">
        <f t="shared" si="3"/>
        <v>Sensitive</v>
      </c>
      <c r="J56" s="25">
        <v>15</v>
      </c>
      <c r="K56" s="25" t="str">
        <f t="shared" si="4"/>
        <v>Intermediate</v>
      </c>
      <c r="L56" s="25">
        <v>20</v>
      </c>
      <c r="M56" s="29" t="str">
        <f t="shared" si="5"/>
        <v>Resistant</v>
      </c>
      <c r="N56" s="25">
        <f t="shared" si="6"/>
        <v>2</v>
      </c>
      <c r="O56" s="25" t="str">
        <f t="shared" si="0"/>
        <v>Susceptible</v>
      </c>
    </row>
    <row r="57" spans="1:15">
      <c r="A57" s="20" t="s">
        <v>130</v>
      </c>
      <c r="B57" s="9" t="s">
        <v>62</v>
      </c>
      <c r="C57" s="21" t="s">
        <v>59</v>
      </c>
      <c r="D57" s="9">
        <v>30</v>
      </c>
      <c r="E57" s="17" t="str">
        <f t="shared" si="1"/>
        <v>Sensitive</v>
      </c>
      <c r="F57" s="9">
        <v>0</v>
      </c>
      <c r="G57" s="17" t="str">
        <f t="shared" si="2"/>
        <v>Resistant</v>
      </c>
      <c r="H57" s="9">
        <v>24</v>
      </c>
      <c r="I57" s="9" t="str">
        <f t="shared" si="3"/>
        <v>Sensitive</v>
      </c>
      <c r="J57" s="9">
        <v>25</v>
      </c>
      <c r="K57" s="9" t="str">
        <f t="shared" si="4"/>
        <v>Sensitive</v>
      </c>
      <c r="L57" s="9">
        <v>20</v>
      </c>
      <c r="M57" s="28" t="str">
        <f t="shared" si="5"/>
        <v>Resistant</v>
      </c>
      <c r="N57" s="9">
        <f t="shared" si="6"/>
        <v>2</v>
      </c>
      <c r="O57" s="9" t="str">
        <f t="shared" si="0"/>
        <v>Susceptible</v>
      </c>
    </row>
    <row r="58" spans="1:15">
      <c r="A58" s="24" t="s">
        <v>131</v>
      </c>
      <c r="B58" s="25" t="s">
        <v>62</v>
      </c>
      <c r="C58" s="26" t="s">
        <v>59</v>
      </c>
      <c r="D58" s="25">
        <v>40</v>
      </c>
      <c r="E58" s="17" t="str">
        <f t="shared" si="1"/>
        <v>Sensitive</v>
      </c>
      <c r="F58" s="25">
        <v>12</v>
      </c>
      <c r="G58" s="17" t="str">
        <f t="shared" si="2"/>
        <v>Resistant</v>
      </c>
      <c r="H58" s="25">
        <v>25</v>
      </c>
      <c r="I58" s="25" t="str">
        <f t="shared" si="3"/>
        <v>Sensitive</v>
      </c>
      <c r="J58" s="25">
        <v>28</v>
      </c>
      <c r="K58" s="25" t="str">
        <f t="shared" si="4"/>
        <v>Sensitive</v>
      </c>
      <c r="L58" s="25">
        <v>25</v>
      </c>
      <c r="M58" s="29" t="str">
        <f t="shared" si="5"/>
        <v>Intermediate</v>
      </c>
      <c r="N58" s="25">
        <f t="shared" si="6"/>
        <v>1</v>
      </c>
      <c r="O58" s="25" t="str">
        <f t="shared" si="0"/>
        <v>Susceptible</v>
      </c>
    </row>
    <row r="59" spans="1:15">
      <c r="A59" s="20" t="s">
        <v>132</v>
      </c>
      <c r="B59" s="9" t="s">
        <v>62</v>
      </c>
      <c r="C59" s="21" t="s">
        <v>59</v>
      </c>
      <c r="D59" s="9">
        <v>22</v>
      </c>
      <c r="E59" s="17" t="str">
        <f t="shared" si="1"/>
        <v>Intermediate</v>
      </c>
      <c r="F59" s="9">
        <v>22</v>
      </c>
      <c r="G59" s="17" t="str">
        <f t="shared" si="2"/>
        <v>Sensitive</v>
      </c>
      <c r="H59" s="9">
        <v>18</v>
      </c>
      <c r="I59" s="9" t="str">
        <f t="shared" si="3"/>
        <v>Sensitive</v>
      </c>
      <c r="J59" s="9">
        <v>0</v>
      </c>
      <c r="K59" s="9" t="str">
        <f t="shared" si="4"/>
        <v>Resistant</v>
      </c>
      <c r="L59" s="9">
        <v>28</v>
      </c>
      <c r="M59" s="28" t="str">
        <f t="shared" si="5"/>
        <v>Sensitive</v>
      </c>
      <c r="N59" s="9">
        <f t="shared" si="6"/>
        <v>1</v>
      </c>
      <c r="O59" s="9" t="str">
        <f t="shared" si="0"/>
        <v>Susceptible</v>
      </c>
    </row>
    <row r="60" spans="1:15">
      <c r="A60" s="24" t="s">
        <v>133</v>
      </c>
      <c r="B60" s="25" t="s">
        <v>62</v>
      </c>
      <c r="C60" s="26" t="s">
        <v>59</v>
      </c>
      <c r="D60" s="25">
        <v>24</v>
      </c>
      <c r="E60" s="17" t="str">
        <f t="shared" si="1"/>
        <v>Sensitive</v>
      </c>
      <c r="F60" s="25">
        <v>12</v>
      </c>
      <c r="G60" s="17" t="str">
        <f t="shared" si="2"/>
        <v>Resistant</v>
      </c>
      <c r="H60" s="25">
        <v>15</v>
      </c>
      <c r="I60" s="25" t="str">
        <f t="shared" si="3"/>
        <v>Sensitive</v>
      </c>
      <c r="J60" s="25">
        <v>15</v>
      </c>
      <c r="K60" s="25" t="str">
        <f t="shared" si="4"/>
        <v>Intermediate</v>
      </c>
      <c r="L60" s="25">
        <v>0</v>
      </c>
      <c r="M60" s="29" t="str">
        <f t="shared" si="5"/>
        <v>Resistant</v>
      </c>
      <c r="N60" s="25">
        <f t="shared" si="6"/>
        <v>2</v>
      </c>
      <c r="O60" s="25" t="str">
        <f t="shared" si="0"/>
        <v>Susceptible</v>
      </c>
    </row>
    <row r="61" spans="1:15">
      <c r="A61" s="20" t="s">
        <v>134</v>
      </c>
      <c r="B61" s="9" t="s">
        <v>62</v>
      </c>
      <c r="C61" s="21" t="s">
        <v>59</v>
      </c>
      <c r="D61" s="9">
        <v>17</v>
      </c>
      <c r="E61" s="17" t="str">
        <f t="shared" si="1"/>
        <v>Resistant</v>
      </c>
      <c r="F61" s="9">
        <v>0</v>
      </c>
      <c r="G61" s="17" t="str">
        <f t="shared" si="2"/>
        <v>Resistant</v>
      </c>
      <c r="H61" s="9">
        <v>6</v>
      </c>
      <c r="I61" s="9" t="str">
        <f t="shared" si="3"/>
        <v>Resistant</v>
      </c>
      <c r="J61" s="9">
        <v>17</v>
      </c>
      <c r="K61" s="9" t="str">
        <f t="shared" si="4"/>
        <v>Intermediate</v>
      </c>
      <c r="L61" s="9">
        <v>12</v>
      </c>
      <c r="M61" s="28" t="str">
        <f t="shared" si="5"/>
        <v>Resistant</v>
      </c>
      <c r="N61" s="9">
        <f t="shared" si="6"/>
        <v>4</v>
      </c>
      <c r="O61" s="9" t="str">
        <f t="shared" si="0"/>
        <v>XDR</v>
      </c>
    </row>
    <row r="62" spans="1:15">
      <c r="A62" s="24" t="s">
        <v>135</v>
      </c>
      <c r="B62" s="25" t="s">
        <v>62</v>
      </c>
      <c r="C62" s="26" t="s">
        <v>59</v>
      </c>
      <c r="D62" s="25">
        <v>20</v>
      </c>
      <c r="E62" s="17" t="str">
        <f t="shared" si="1"/>
        <v>Intermediate</v>
      </c>
      <c r="F62" s="25">
        <v>20</v>
      </c>
      <c r="G62" s="17" t="str">
        <f t="shared" si="2"/>
        <v>Intermediate</v>
      </c>
      <c r="H62" s="25">
        <v>20</v>
      </c>
      <c r="I62" s="25" t="str">
        <f t="shared" si="3"/>
        <v>Sensitive</v>
      </c>
      <c r="J62" s="25">
        <v>16</v>
      </c>
      <c r="K62" s="25" t="str">
        <f t="shared" si="4"/>
        <v>Intermediate</v>
      </c>
      <c r="L62" s="25">
        <v>0</v>
      </c>
      <c r="M62" s="29" t="str">
        <f t="shared" si="5"/>
        <v>Resistant</v>
      </c>
      <c r="N62" s="25">
        <f t="shared" si="6"/>
        <v>1</v>
      </c>
      <c r="O62" s="25" t="str">
        <f t="shared" si="0"/>
        <v>Susceptible</v>
      </c>
    </row>
    <row r="63" spans="1:15">
      <c r="A63" s="20" t="s">
        <v>136</v>
      </c>
      <c r="B63" s="9" t="s">
        <v>62</v>
      </c>
      <c r="C63" s="21" t="s">
        <v>59</v>
      </c>
      <c r="D63" s="9">
        <v>40</v>
      </c>
      <c r="E63" s="17" t="str">
        <f t="shared" si="1"/>
        <v>Sensitive</v>
      </c>
      <c r="F63" s="9">
        <v>0</v>
      </c>
      <c r="G63" s="17" t="str">
        <f t="shared" si="2"/>
        <v>Resistant</v>
      </c>
      <c r="H63" s="9">
        <v>24</v>
      </c>
      <c r="I63" s="9" t="str">
        <f t="shared" si="3"/>
        <v>Sensitive</v>
      </c>
      <c r="J63" s="9">
        <v>28</v>
      </c>
      <c r="K63" s="9" t="str">
        <f t="shared" si="4"/>
        <v>Sensitive</v>
      </c>
      <c r="L63" s="9">
        <v>29</v>
      </c>
      <c r="M63" s="28" t="str">
        <f t="shared" si="5"/>
        <v>Sensitive</v>
      </c>
      <c r="N63" s="9">
        <f t="shared" si="6"/>
        <v>1</v>
      </c>
      <c r="O63" s="9" t="str">
        <f t="shared" si="0"/>
        <v>Susceptible</v>
      </c>
    </row>
    <row r="64" spans="1:15">
      <c r="A64" s="24" t="s">
        <v>137</v>
      </c>
      <c r="B64" s="25" t="s">
        <v>62</v>
      </c>
      <c r="C64" s="26" t="s">
        <v>59</v>
      </c>
      <c r="D64" s="25">
        <v>25</v>
      </c>
      <c r="E64" s="17" t="str">
        <f t="shared" si="1"/>
        <v>Sensitive</v>
      </c>
      <c r="F64" s="25">
        <v>0</v>
      </c>
      <c r="G64" s="17" t="str">
        <f t="shared" si="2"/>
        <v>Resistant</v>
      </c>
      <c r="H64" s="25">
        <v>20</v>
      </c>
      <c r="I64" s="25" t="str">
        <f t="shared" si="3"/>
        <v>Sensitive</v>
      </c>
      <c r="J64" s="25">
        <v>16</v>
      </c>
      <c r="K64" s="25" t="str">
        <f t="shared" si="4"/>
        <v>Intermediate</v>
      </c>
      <c r="L64" s="25">
        <v>20</v>
      </c>
      <c r="M64" s="29" t="str">
        <f t="shared" si="5"/>
        <v>Resistant</v>
      </c>
      <c r="N64" s="25">
        <f t="shared" si="6"/>
        <v>2</v>
      </c>
      <c r="O64" s="25" t="str">
        <f t="shared" si="0"/>
        <v>Susceptible</v>
      </c>
    </row>
    <row r="65" spans="1:15">
      <c r="A65" s="20" t="s">
        <v>138</v>
      </c>
      <c r="B65" s="9" t="s">
        <v>62</v>
      </c>
      <c r="C65" s="21" t="s">
        <v>59</v>
      </c>
      <c r="D65" s="9">
        <v>30</v>
      </c>
      <c r="E65" s="17" t="str">
        <f t="shared" si="1"/>
        <v>Sensitive</v>
      </c>
      <c r="F65" s="9">
        <v>0</v>
      </c>
      <c r="G65" s="17" t="str">
        <f t="shared" si="2"/>
        <v>Resistant</v>
      </c>
      <c r="H65" s="9">
        <v>20</v>
      </c>
      <c r="I65" s="9" t="str">
        <f t="shared" si="3"/>
        <v>Sensitive</v>
      </c>
      <c r="J65" s="9">
        <v>16</v>
      </c>
      <c r="K65" s="9" t="str">
        <f t="shared" si="4"/>
        <v>Intermediate</v>
      </c>
      <c r="L65" s="9">
        <v>26</v>
      </c>
      <c r="M65" s="28" t="str">
        <f t="shared" si="5"/>
        <v>Sensitive</v>
      </c>
      <c r="N65" s="9">
        <f t="shared" si="6"/>
        <v>1</v>
      </c>
      <c r="O65" s="9" t="str">
        <f t="shared" si="0"/>
        <v>Susceptible</v>
      </c>
    </row>
    <row r="66" spans="1:15">
      <c r="A66" s="24" t="s">
        <v>139</v>
      </c>
      <c r="B66" s="25" t="s">
        <v>62</v>
      </c>
      <c r="C66" s="26" t="s">
        <v>59</v>
      </c>
      <c r="D66" s="25">
        <v>25</v>
      </c>
      <c r="E66" s="17" t="str">
        <f t="shared" si="1"/>
        <v>Sensitive</v>
      </c>
      <c r="F66" s="25">
        <v>20</v>
      </c>
      <c r="G66" s="17" t="str">
        <f t="shared" si="2"/>
        <v>Intermediate</v>
      </c>
      <c r="H66" s="25">
        <v>17</v>
      </c>
      <c r="I66" s="25" t="str">
        <f t="shared" si="3"/>
        <v>Sensitive</v>
      </c>
      <c r="J66" s="25">
        <v>15</v>
      </c>
      <c r="K66" s="25" t="str">
        <f t="shared" si="4"/>
        <v>Intermediate</v>
      </c>
      <c r="L66" s="25">
        <v>25</v>
      </c>
      <c r="M66" s="29" t="str">
        <f t="shared" si="5"/>
        <v>Intermediate</v>
      </c>
      <c r="N66" s="25">
        <f t="shared" si="6"/>
        <v>0</v>
      </c>
      <c r="O66" s="25" t="str">
        <f t="shared" ref="O66:O129" si="7">_xlfn.IFS(N66&lt;=2, "Susceptible",N66=3,"MDR",N66=4, "XDR",N66=5, "XDR*")</f>
        <v>Susceptible</v>
      </c>
    </row>
    <row r="67" spans="1:15">
      <c r="A67" s="20" t="s">
        <v>140</v>
      </c>
      <c r="B67" s="9" t="s">
        <v>62</v>
      </c>
      <c r="C67" s="21" t="s">
        <v>59</v>
      </c>
      <c r="D67" s="9">
        <v>25</v>
      </c>
      <c r="E67" s="17" t="str">
        <f t="shared" ref="E67:E130" si="8">_xlfn.IFS(D67&lt;=19, "Resistant", D67&lt;=22, "Intermediate", D67&gt;=23, "Sensitive")</f>
        <v>Sensitive</v>
      </c>
      <c r="F67" s="9">
        <v>24</v>
      </c>
      <c r="G67" s="17" t="str">
        <f t="shared" ref="G67:G130" si="9">_xlfn.IFS(F67&lt;=17, "Resistant", F67&lt;=20, "Intermediate", F67&gt;=21, "Sensitive")</f>
        <v>Sensitive</v>
      </c>
      <c r="H67" s="9">
        <v>16</v>
      </c>
      <c r="I67" s="9" t="str">
        <f t="shared" ref="I67:I130" si="10">_xlfn.IFS(H67&lt;=12, "Resistant", H67&lt;=14, "Intermediate", H67&gt;=15, "Sensitive")</f>
        <v>Sensitive</v>
      </c>
      <c r="J67" s="9">
        <v>20</v>
      </c>
      <c r="K67" s="9" t="str">
        <f t="shared" ref="K67:K130" si="11">_xlfn.IFS(J67&lt;=13, "Resistant", J67&lt;=17, "Intermediate", J67&gt;=18, "Sensitive")</f>
        <v>Sensitive</v>
      </c>
      <c r="L67" s="9">
        <v>25</v>
      </c>
      <c r="M67" s="28" t="str">
        <f t="shared" ref="M67:M130" si="12">_xlfn.IFS(L67&lt;=21, "Resistant", L67&lt;=25, "Intermediate", L67&gt;=26, "Sensitive")</f>
        <v>Intermediate</v>
      </c>
      <c r="N67" s="9">
        <f t="shared" ref="N67:N130" si="13">COUNTIF(E67:M67,"Resistant")</f>
        <v>0</v>
      </c>
      <c r="O67" s="9" t="str">
        <f t="shared" si="7"/>
        <v>Susceptible</v>
      </c>
    </row>
    <row r="68" spans="1:15">
      <c r="A68" s="24" t="s">
        <v>141</v>
      </c>
      <c r="B68" s="25" t="s">
        <v>62</v>
      </c>
      <c r="C68" s="26" t="s">
        <v>59</v>
      </c>
      <c r="D68" s="25">
        <v>22</v>
      </c>
      <c r="E68" s="17" t="str">
        <f t="shared" si="8"/>
        <v>Intermediate</v>
      </c>
      <c r="F68" s="25">
        <v>0</v>
      </c>
      <c r="G68" s="17" t="str">
        <f t="shared" si="9"/>
        <v>Resistant</v>
      </c>
      <c r="H68" s="25">
        <v>16</v>
      </c>
      <c r="I68" s="25" t="str">
        <f t="shared" si="10"/>
        <v>Sensitive</v>
      </c>
      <c r="J68" s="25">
        <v>4</v>
      </c>
      <c r="K68" s="25" t="str">
        <f t="shared" si="11"/>
        <v>Resistant</v>
      </c>
      <c r="L68" s="25">
        <v>20</v>
      </c>
      <c r="M68" s="29" t="str">
        <f t="shared" si="12"/>
        <v>Resistant</v>
      </c>
      <c r="N68" s="25">
        <f t="shared" si="13"/>
        <v>3</v>
      </c>
      <c r="O68" s="25" t="str">
        <f t="shared" si="7"/>
        <v>MDR</v>
      </c>
    </row>
    <row r="69" spans="1:15">
      <c r="A69" s="20" t="s">
        <v>142</v>
      </c>
      <c r="B69" s="9" t="s">
        <v>62</v>
      </c>
      <c r="C69" s="21" t="s">
        <v>59</v>
      </c>
      <c r="D69" s="9">
        <v>30</v>
      </c>
      <c r="E69" s="17" t="str">
        <f t="shared" si="8"/>
        <v>Sensitive</v>
      </c>
      <c r="F69" s="9">
        <v>7</v>
      </c>
      <c r="G69" s="17" t="str">
        <f t="shared" si="9"/>
        <v>Resistant</v>
      </c>
      <c r="H69" s="9">
        <v>20</v>
      </c>
      <c r="I69" s="9" t="str">
        <f t="shared" si="10"/>
        <v>Sensitive</v>
      </c>
      <c r="J69" s="9">
        <v>20</v>
      </c>
      <c r="K69" s="9" t="str">
        <f t="shared" si="11"/>
        <v>Sensitive</v>
      </c>
      <c r="L69" s="9">
        <v>20</v>
      </c>
      <c r="M69" s="28" t="str">
        <f t="shared" si="12"/>
        <v>Resistant</v>
      </c>
      <c r="N69" s="9">
        <f t="shared" si="13"/>
        <v>2</v>
      </c>
      <c r="O69" s="9" t="str">
        <f t="shared" si="7"/>
        <v>Susceptible</v>
      </c>
    </row>
    <row r="70" spans="1:15">
      <c r="A70" s="24" t="s">
        <v>143</v>
      </c>
      <c r="B70" s="25" t="s">
        <v>62</v>
      </c>
      <c r="C70" s="26" t="s">
        <v>59</v>
      </c>
      <c r="D70" s="25">
        <v>20</v>
      </c>
      <c r="E70" s="17" t="str">
        <f t="shared" si="8"/>
        <v>Intermediate</v>
      </c>
      <c r="F70" s="25">
        <v>0</v>
      </c>
      <c r="G70" s="17" t="str">
        <f t="shared" si="9"/>
        <v>Resistant</v>
      </c>
      <c r="H70" s="25">
        <v>20</v>
      </c>
      <c r="I70" s="25" t="str">
        <f t="shared" si="10"/>
        <v>Sensitive</v>
      </c>
      <c r="J70" s="25">
        <v>11</v>
      </c>
      <c r="K70" s="25" t="str">
        <f t="shared" si="11"/>
        <v>Resistant</v>
      </c>
      <c r="L70" s="25">
        <v>0</v>
      </c>
      <c r="M70" s="29" t="str">
        <f t="shared" si="12"/>
        <v>Resistant</v>
      </c>
      <c r="N70" s="25">
        <f t="shared" si="13"/>
        <v>3</v>
      </c>
      <c r="O70" s="25" t="str">
        <f t="shared" si="7"/>
        <v>MDR</v>
      </c>
    </row>
    <row r="71" spans="1:15">
      <c r="A71" s="20" t="s">
        <v>144</v>
      </c>
      <c r="B71" s="9" t="s">
        <v>62</v>
      </c>
      <c r="C71" s="21" t="s">
        <v>59</v>
      </c>
      <c r="D71" s="9">
        <v>30</v>
      </c>
      <c r="E71" s="17" t="str">
        <f t="shared" si="8"/>
        <v>Sensitive</v>
      </c>
      <c r="F71" s="9">
        <v>0</v>
      </c>
      <c r="G71" s="17" t="str">
        <f t="shared" si="9"/>
        <v>Resistant</v>
      </c>
      <c r="H71" s="9">
        <v>20</v>
      </c>
      <c r="I71" s="9" t="str">
        <f t="shared" si="10"/>
        <v>Sensitive</v>
      </c>
      <c r="J71" s="9">
        <v>18</v>
      </c>
      <c r="K71" s="9" t="str">
        <f t="shared" si="11"/>
        <v>Sensitive</v>
      </c>
      <c r="L71" s="9">
        <v>25</v>
      </c>
      <c r="M71" s="28" t="str">
        <f t="shared" si="12"/>
        <v>Intermediate</v>
      </c>
      <c r="N71" s="9">
        <f t="shared" si="13"/>
        <v>1</v>
      </c>
      <c r="O71" s="9" t="str">
        <f t="shared" si="7"/>
        <v>Susceptible</v>
      </c>
    </row>
    <row r="72" spans="1:15">
      <c r="A72" s="24" t="s">
        <v>145</v>
      </c>
      <c r="B72" s="25" t="s">
        <v>62</v>
      </c>
      <c r="C72" s="26" t="s">
        <v>59</v>
      </c>
      <c r="D72" s="25">
        <v>30</v>
      </c>
      <c r="E72" s="17" t="str">
        <f t="shared" si="8"/>
        <v>Sensitive</v>
      </c>
      <c r="F72" s="25">
        <v>18</v>
      </c>
      <c r="G72" s="17" t="str">
        <f t="shared" si="9"/>
        <v>Intermediate</v>
      </c>
      <c r="H72" s="25">
        <v>16</v>
      </c>
      <c r="I72" s="25" t="str">
        <f t="shared" si="10"/>
        <v>Sensitive</v>
      </c>
      <c r="J72" s="25">
        <v>25</v>
      </c>
      <c r="K72" s="25" t="str">
        <f t="shared" si="11"/>
        <v>Sensitive</v>
      </c>
      <c r="L72" s="25">
        <v>20</v>
      </c>
      <c r="M72" s="29" t="str">
        <f t="shared" si="12"/>
        <v>Resistant</v>
      </c>
      <c r="N72" s="25">
        <f t="shared" si="13"/>
        <v>1</v>
      </c>
      <c r="O72" s="25" t="str">
        <f t="shared" si="7"/>
        <v>Susceptible</v>
      </c>
    </row>
    <row r="73" spans="1:15">
      <c r="A73" s="20" t="s">
        <v>146</v>
      </c>
      <c r="B73" s="9" t="s">
        <v>62</v>
      </c>
      <c r="C73" s="21" t="s">
        <v>59</v>
      </c>
      <c r="D73" s="9">
        <v>40</v>
      </c>
      <c r="E73" s="17" t="str">
        <f t="shared" si="8"/>
        <v>Sensitive</v>
      </c>
      <c r="F73" s="9">
        <v>20</v>
      </c>
      <c r="G73" s="17" t="str">
        <f t="shared" si="9"/>
        <v>Intermediate</v>
      </c>
      <c r="H73" s="9">
        <v>25</v>
      </c>
      <c r="I73" s="9" t="str">
        <f t="shared" si="10"/>
        <v>Sensitive</v>
      </c>
      <c r="J73" s="9">
        <v>25</v>
      </c>
      <c r="K73" s="9" t="str">
        <f t="shared" si="11"/>
        <v>Sensitive</v>
      </c>
      <c r="L73" s="9">
        <v>25</v>
      </c>
      <c r="M73" s="28" t="str">
        <f t="shared" si="12"/>
        <v>Intermediate</v>
      </c>
      <c r="N73" s="9">
        <f t="shared" si="13"/>
        <v>0</v>
      </c>
      <c r="O73" s="9" t="str">
        <f t="shared" si="7"/>
        <v>Susceptible</v>
      </c>
    </row>
    <row r="74" spans="1:15">
      <c r="A74" s="24" t="s">
        <v>147</v>
      </c>
      <c r="B74" s="25" t="s">
        <v>62</v>
      </c>
      <c r="C74" s="26" t="s">
        <v>59</v>
      </c>
      <c r="D74" s="25">
        <v>30</v>
      </c>
      <c r="E74" s="17" t="str">
        <f t="shared" si="8"/>
        <v>Sensitive</v>
      </c>
      <c r="F74" s="25">
        <v>0</v>
      </c>
      <c r="G74" s="17" t="str">
        <f t="shared" si="9"/>
        <v>Resistant</v>
      </c>
      <c r="H74" s="25">
        <v>20</v>
      </c>
      <c r="I74" s="25" t="str">
        <f t="shared" si="10"/>
        <v>Sensitive</v>
      </c>
      <c r="J74" s="25">
        <v>17</v>
      </c>
      <c r="K74" s="25" t="str">
        <f t="shared" si="11"/>
        <v>Intermediate</v>
      </c>
      <c r="L74" s="25">
        <v>25</v>
      </c>
      <c r="M74" s="29" t="str">
        <f t="shared" si="12"/>
        <v>Intermediate</v>
      </c>
      <c r="N74" s="25">
        <f t="shared" si="13"/>
        <v>1</v>
      </c>
      <c r="O74" s="25" t="str">
        <f t="shared" si="7"/>
        <v>Susceptible</v>
      </c>
    </row>
    <row r="75" spans="1:15">
      <c r="A75" s="20" t="s">
        <v>148</v>
      </c>
      <c r="B75" s="9" t="s">
        <v>64</v>
      </c>
      <c r="C75" s="21" t="s">
        <v>58</v>
      </c>
      <c r="D75" s="9">
        <v>24</v>
      </c>
      <c r="E75" s="17" t="str">
        <f t="shared" si="8"/>
        <v>Sensitive</v>
      </c>
      <c r="F75" s="9">
        <v>0</v>
      </c>
      <c r="G75" s="17" t="str">
        <f t="shared" si="9"/>
        <v>Resistant</v>
      </c>
      <c r="H75" s="9">
        <v>16</v>
      </c>
      <c r="I75" s="9" t="str">
        <f t="shared" si="10"/>
        <v>Sensitive</v>
      </c>
      <c r="J75" s="9">
        <v>0</v>
      </c>
      <c r="K75" s="9" t="str">
        <f t="shared" si="11"/>
        <v>Resistant</v>
      </c>
      <c r="L75" s="9">
        <v>30</v>
      </c>
      <c r="M75" s="28" t="str">
        <f t="shared" si="12"/>
        <v>Sensitive</v>
      </c>
      <c r="N75" s="9">
        <f t="shared" si="13"/>
        <v>2</v>
      </c>
      <c r="O75" s="9" t="str">
        <f t="shared" si="7"/>
        <v>Susceptible</v>
      </c>
    </row>
    <row r="76" spans="1:15">
      <c r="A76" s="24" t="s">
        <v>149</v>
      </c>
      <c r="B76" s="25" t="s">
        <v>64</v>
      </c>
      <c r="C76" s="26" t="s">
        <v>58</v>
      </c>
      <c r="D76" s="25">
        <v>26</v>
      </c>
      <c r="E76" s="17" t="str">
        <f t="shared" si="8"/>
        <v>Sensitive</v>
      </c>
      <c r="F76" s="25">
        <v>20</v>
      </c>
      <c r="G76" s="17" t="str">
        <f t="shared" si="9"/>
        <v>Intermediate</v>
      </c>
      <c r="H76" s="25">
        <v>10</v>
      </c>
      <c r="I76" s="25" t="str">
        <f t="shared" si="10"/>
        <v>Resistant</v>
      </c>
      <c r="J76" s="25">
        <v>9</v>
      </c>
      <c r="K76" s="25" t="str">
        <f t="shared" si="11"/>
        <v>Resistant</v>
      </c>
      <c r="L76" s="25">
        <v>23</v>
      </c>
      <c r="M76" s="29" t="str">
        <f t="shared" si="12"/>
        <v>Intermediate</v>
      </c>
      <c r="N76" s="25">
        <f t="shared" si="13"/>
        <v>2</v>
      </c>
      <c r="O76" s="25" t="str">
        <f t="shared" si="7"/>
        <v>Susceptible</v>
      </c>
    </row>
    <row r="77" spans="1:15">
      <c r="A77" s="20" t="s">
        <v>150</v>
      </c>
      <c r="B77" s="9" t="s">
        <v>64</v>
      </c>
      <c r="C77" s="21" t="s">
        <v>58</v>
      </c>
      <c r="D77" s="9">
        <v>21</v>
      </c>
      <c r="E77" s="17" t="str">
        <f t="shared" si="8"/>
        <v>Intermediate</v>
      </c>
      <c r="F77" s="9">
        <v>0</v>
      </c>
      <c r="G77" s="17" t="str">
        <f t="shared" si="9"/>
        <v>Resistant</v>
      </c>
      <c r="H77" s="9">
        <v>15</v>
      </c>
      <c r="I77" s="9" t="str">
        <f t="shared" si="10"/>
        <v>Sensitive</v>
      </c>
      <c r="J77" s="9">
        <v>0</v>
      </c>
      <c r="K77" s="9" t="str">
        <f t="shared" si="11"/>
        <v>Resistant</v>
      </c>
      <c r="L77" s="9">
        <v>22</v>
      </c>
      <c r="M77" s="28" t="str">
        <f t="shared" si="12"/>
        <v>Intermediate</v>
      </c>
      <c r="N77" s="9">
        <f t="shared" si="13"/>
        <v>2</v>
      </c>
      <c r="O77" s="9" t="str">
        <f t="shared" si="7"/>
        <v>Susceptible</v>
      </c>
    </row>
    <row r="78" spans="1:15">
      <c r="A78" s="24" t="s">
        <v>151</v>
      </c>
      <c r="B78" s="25" t="s">
        <v>64</v>
      </c>
      <c r="C78" s="26" t="s">
        <v>58</v>
      </c>
      <c r="D78" s="25">
        <v>22</v>
      </c>
      <c r="E78" s="17" t="str">
        <f t="shared" si="8"/>
        <v>Intermediate</v>
      </c>
      <c r="F78" s="25">
        <v>12</v>
      </c>
      <c r="G78" s="17" t="str">
        <f t="shared" si="9"/>
        <v>Resistant</v>
      </c>
      <c r="H78" s="25">
        <v>17</v>
      </c>
      <c r="I78" s="25" t="str">
        <f t="shared" si="10"/>
        <v>Sensitive</v>
      </c>
      <c r="J78" s="25">
        <v>0</v>
      </c>
      <c r="K78" s="25" t="str">
        <f t="shared" si="11"/>
        <v>Resistant</v>
      </c>
      <c r="L78" s="25">
        <v>19</v>
      </c>
      <c r="M78" s="29" t="str">
        <f t="shared" si="12"/>
        <v>Resistant</v>
      </c>
      <c r="N78" s="25">
        <f t="shared" si="13"/>
        <v>3</v>
      </c>
      <c r="O78" s="25" t="str">
        <f t="shared" si="7"/>
        <v>MDR</v>
      </c>
    </row>
    <row r="79" spans="1:15">
      <c r="A79" s="20" t="s">
        <v>152</v>
      </c>
      <c r="B79" s="9" t="s">
        <v>64</v>
      </c>
      <c r="C79" s="21" t="s">
        <v>58</v>
      </c>
      <c r="D79" s="9">
        <v>20</v>
      </c>
      <c r="E79" s="17" t="str">
        <f t="shared" si="8"/>
        <v>Intermediate</v>
      </c>
      <c r="F79" s="9">
        <v>0</v>
      </c>
      <c r="G79" s="17" t="str">
        <f t="shared" si="9"/>
        <v>Resistant</v>
      </c>
      <c r="H79" s="9">
        <v>15</v>
      </c>
      <c r="I79" s="9" t="str">
        <f t="shared" si="10"/>
        <v>Sensitive</v>
      </c>
      <c r="J79" s="9">
        <v>0</v>
      </c>
      <c r="K79" s="9" t="str">
        <f t="shared" si="11"/>
        <v>Resistant</v>
      </c>
      <c r="L79" s="9">
        <v>20</v>
      </c>
      <c r="M79" s="28" t="str">
        <f t="shared" si="12"/>
        <v>Resistant</v>
      </c>
      <c r="N79" s="9">
        <f t="shared" si="13"/>
        <v>3</v>
      </c>
      <c r="O79" s="9" t="str">
        <f t="shared" si="7"/>
        <v>MDR</v>
      </c>
    </row>
    <row r="80" spans="1:15">
      <c r="A80" s="24" t="s">
        <v>153</v>
      </c>
      <c r="B80" s="25" t="s">
        <v>64</v>
      </c>
      <c r="C80" s="26" t="s">
        <v>58</v>
      </c>
      <c r="D80" s="25">
        <v>17</v>
      </c>
      <c r="E80" s="17" t="str">
        <f t="shared" si="8"/>
        <v>Resistant</v>
      </c>
      <c r="F80" s="25">
        <v>0</v>
      </c>
      <c r="G80" s="17" t="str">
        <f t="shared" si="9"/>
        <v>Resistant</v>
      </c>
      <c r="H80" s="25">
        <v>15</v>
      </c>
      <c r="I80" s="25" t="str">
        <f t="shared" si="10"/>
        <v>Sensitive</v>
      </c>
      <c r="J80" s="25">
        <v>0</v>
      </c>
      <c r="K80" s="25" t="str">
        <f t="shared" si="11"/>
        <v>Resistant</v>
      </c>
      <c r="L80" s="25">
        <v>12</v>
      </c>
      <c r="M80" s="29" t="str">
        <f t="shared" si="12"/>
        <v>Resistant</v>
      </c>
      <c r="N80" s="25">
        <f t="shared" si="13"/>
        <v>4</v>
      </c>
      <c r="O80" s="25" t="str">
        <f t="shared" si="7"/>
        <v>XDR</v>
      </c>
    </row>
    <row r="81" spans="1:15">
      <c r="A81" s="20" t="s">
        <v>154</v>
      </c>
      <c r="B81" s="9" t="s">
        <v>64</v>
      </c>
      <c r="C81" s="21" t="s">
        <v>58</v>
      </c>
      <c r="D81" s="9">
        <v>18</v>
      </c>
      <c r="E81" s="17" t="str">
        <f t="shared" si="8"/>
        <v>Resistant</v>
      </c>
      <c r="F81" s="9">
        <v>24</v>
      </c>
      <c r="G81" s="17" t="str">
        <f t="shared" si="9"/>
        <v>Sensitive</v>
      </c>
      <c r="H81" s="9">
        <v>13</v>
      </c>
      <c r="I81" s="9" t="str">
        <f t="shared" si="10"/>
        <v>Intermediate</v>
      </c>
      <c r="J81" s="9">
        <v>9</v>
      </c>
      <c r="K81" s="9" t="str">
        <f t="shared" si="11"/>
        <v>Resistant</v>
      </c>
      <c r="L81" s="9">
        <v>32</v>
      </c>
      <c r="M81" s="28" t="str">
        <f t="shared" si="12"/>
        <v>Sensitive</v>
      </c>
      <c r="N81" s="9">
        <f t="shared" si="13"/>
        <v>2</v>
      </c>
      <c r="O81" s="9" t="str">
        <f t="shared" si="7"/>
        <v>Susceptible</v>
      </c>
    </row>
    <row r="82" spans="1:15">
      <c r="A82" s="24" t="s">
        <v>155</v>
      </c>
      <c r="B82" s="25" t="s">
        <v>64</v>
      </c>
      <c r="C82" s="26" t="s">
        <v>58</v>
      </c>
      <c r="D82" s="25">
        <v>27</v>
      </c>
      <c r="E82" s="17" t="str">
        <f t="shared" si="8"/>
        <v>Sensitive</v>
      </c>
      <c r="F82" s="25">
        <v>0</v>
      </c>
      <c r="G82" s="17" t="str">
        <f t="shared" si="9"/>
        <v>Resistant</v>
      </c>
      <c r="H82" s="25">
        <v>15</v>
      </c>
      <c r="I82" s="25" t="str">
        <f t="shared" si="10"/>
        <v>Sensitive</v>
      </c>
      <c r="J82" s="25">
        <v>0</v>
      </c>
      <c r="K82" s="25" t="str">
        <f t="shared" si="11"/>
        <v>Resistant</v>
      </c>
      <c r="L82" s="25">
        <v>10</v>
      </c>
      <c r="M82" s="29" t="str">
        <f t="shared" si="12"/>
        <v>Resistant</v>
      </c>
      <c r="N82" s="25">
        <f t="shared" si="13"/>
        <v>3</v>
      </c>
      <c r="O82" s="25" t="str">
        <f t="shared" si="7"/>
        <v>MDR</v>
      </c>
    </row>
    <row r="83" spans="1:15">
      <c r="A83" s="20" t="s">
        <v>156</v>
      </c>
      <c r="B83" s="9" t="s">
        <v>64</v>
      </c>
      <c r="C83" s="21" t="s">
        <v>58</v>
      </c>
      <c r="D83" s="9">
        <v>22</v>
      </c>
      <c r="E83" s="17" t="str">
        <f t="shared" si="8"/>
        <v>Intermediate</v>
      </c>
      <c r="F83" s="9">
        <v>18</v>
      </c>
      <c r="G83" s="17" t="str">
        <f t="shared" si="9"/>
        <v>Intermediate</v>
      </c>
      <c r="H83" s="9">
        <v>15</v>
      </c>
      <c r="I83" s="9" t="str">
        <f t="shared" si="10"/>
        <v>Sensitive</v>
      </c>
      <c r="J83" s="9">
        <v>0</v>
      </c>
      <c r="K83" s="9" t="str">
        <f t="shared" si="11"/>
        <v>Resistant</v>
      </c>
      <c r="L83" s="9">
        <v>25</v>
      </c>
      <c r="M83" s="28" t="str">
        <f t="shared" si="12"/>
        <v>Intermediate</v>
      </c>
      <c r="N83" s="9">
        <f t="shared" si="13"/>
        <v>1</v>
      </c>
      <c r="O83" s="9" t="str">
        <f t="shared" si="7"/>
        <v>Susceptible</v>
      </c>
    </row>
    <row r="84" spans="1:15">
      <c r="A84" s="24" t="s">
        <v>157</v>
      </c>
      <c r="B84" s="25" t="s">
        <v>64</v>
      </c>
      <c r="C84" s="26" t="s">
        <v>58</v>
      </c>
      <c r="D84" s="25">
        <v>17</v>
      </c>
      <c r="E84" s="17" t="str">
        <f t="shared" si="8"/>
        <v>Resistant</v>
      </c>
      <c r="F84" s="25">
        <v>12</v>
      </c>
      <c r="G84" s="17" t="str">
        <f t="shared" si="9"/>
        <v>Resistant</v>
      </c>
      <c r="H84" s="25">
        <v>15</v>
      </c>
      <c r="I84" s="25" t="str">
        <f t="shared" si="10"/>
        <v>Sensitive</v>
      </c>
      <c r="J84" s="25">
        <v>0</v>
      </c>
      <c r="K84" s="25" t="str">
        <f t="shared" si="11"/>
        <v>Resistant</v>
      </c>
      <c r="L84" s="25">
        <v>21</v>
      </c>
      <c r="M84" s="29" t="str">
        <f t="shared" si="12"/>
        <v>Resistant</v>
      </c>
      <c r="N84" s="25">
        <f t="shared" si="13"/>
        <v>4</v>
      </c>
      <c r="O84" s="25" t="str">
        <f t="shared" si="7"/>
        <v>XDR</v>
      </c>
    </row>
    <row r="85" spans="1:15">
      <c r="A85" s="20" t="s">
        <v>158</v>
      </c>
      <c r="B85" s="9" t="s">
        <v>64</v>
      </c>
      <c r="C85" s="21" t="s">
        <v>58</v>
      </c>
      <c r="D85" s="9">
        <v>24</v>
      </c>
      <c r="E85" s="17" t="str">
        <f t="shared" si="8"/>
        <v>Sensitive</v>
      </c>
      <c r="F85" s="9">
        <v>11</v>
      </c>
      <c r="G85" s="17" t="str">
        <f t="shared" si="9"/>
        <v>Resistant</v>
      </c>
      <c r="H85" s="9">
        <v>17</v>
      </c>
      <c r="I85" s="9" t="str">
        <f t="shared" si="10"/>
        <v>Sensitive</v>
      </c>
      <c r="J85" s="9">
        <v>0</v>
      </c>
      <c r="K85" s="9" t="str">
        <f t="shared" si="11"/>
        <v>Resistant</v>
      </c>
      <c r="L85" s="9">
        <v>21</v>
      </c>
      <c r="M85" s="28" t="str">
        <f t="shared" si="12"/>
        <v>Resistant</v>
      </c>
      <c r="N85" s="9">
        <f t="shared" si="13"/>
        <v>3</v>
      </c>
      <c r="O85" s="9" t="str">
        <f t="shared" si="7"/>
        <v>MDR</v>
      </c>
    </row>
    <row r="86" spans="1:15">
      <c r="A86" s="24" t="s">
        <v>159</v>
      </c>
      <c r="B86" s="25" t="s">
        <v>64</v>
      </c>
      <c r="C86" s="26" t="s">
        <v>58</v>
      </c>
      <c r="D86" s="25">
        <v>23</v>
      </c>
      <c r="E86" s="17" t="str">
        <f t="shared" si="8"/>
        <v>Sensitive</v>
      </c>
      <c r="F86" s="25">
        <v>12</v>
      </c>
      <c r="G86" s="17" t="str">
        <f t="shared" si="9"/>
        <v>Resistant</v>
      </c>
      <c r="H86" s="25">
        <v>8</v>
      </c>
      <c r="I86" s="25" t="str">
        <f t="shared" si="10"/>
        <v>Resistant</v>
      </c>
      <c r="J86" s="25">
        <v>0</v>
      </c>
      <c r="K86" s="25" t="str">
        <f t="shared" si="11"/>
        <v>Resistant</v>
      </c>
      <c r="L86" s="25">
        <v>22</v>
      </c>
      <c r="M86" s="29" t="str">
        <f t="shared" si="12"/>
        <v>Intermediate</v>
      </c>
      <c r="N86" s="25">
        <f t="shared" si="13"/>
        <v>3</v>
      </c>
      <c r="O86" s="25" t="str">
        <f t="shared" si="7"/>
        <v>MDR</v>
      </c>
    </row>
    <row r="87" spans="1:15">
      <c r="A87" s="20" t="s">
        <v>160</v>
      </c>
      <c r="B87" s="9" t="s">
        <v>64</v>
      </c>
      <c r="C87" s="21" t="s">
        <v>58</v>
      </c>
      <c r="D87" s="9">
        <v>22</v>
      </c>
      <c r="E87" s="17" t="str">
        <f t="shared" si="8"/>
        <v>Intermediate</v>
      </c>
      <c r="F87" s="9">
        <v>15</v>
      </c>
      <c r="G87" s="17" t="str">
        <f t="shared" si="9"/>
        <v>Resistant</v>
      </c>
      <c r="H87" s="9">
        <v>9</v>
      </c>
      <c r="I87" s="9" t="str">
        <f t="shared" si="10"/>
        <v>Resistant</v>
      </c>
      <c r="J87" s="9">
        <v>0</v>
      </c>
      <c r="K87" s="9" t="str">
        <f t="shared" si="11"/>
        <v>Resistant</v>
      </c>
      <c r="L87" s="9">
        <v>20</v>
      </c>
      <c r="M87" s="28" t="str">
        <f t="shared" si="12"/>
        <v>Resistant</v>
      </c>
      <c r="N87" s="9">
        <f t="shared" si="13"/>
        <v>4</v>
      </c>
      <c r="O87" s="9" t="str">
        <f t="shared" si="7"/>
        <v>XDR</v>
      </c>
    </row>
    <row r="88" spans="1:15">
      <c r="A88" s="24" t="s">
        <v>161</v>
      </c>
      <c r="B88" s="25" t="s">
        <v>64</v>
      </c>
      <c r="C88" s="26" t="s">
        <v>58</v>
      </c>
      <c r="D88" s="25">
        <v>24</v>
      </c>
      <c r="E88" s="17" t="str">
        <f t="shared" si="8"/>
        <v>Sensitive</v>
      </c>
      <c r="F88" s="25">
        <v>32</v>
      </c>
      <c r="G88" s="17" t="str">
        <f t="shared" si="9"/>
        <v>Sensitive</v>
      </c>
      <c r="H88" s="25">
        <v>22</v>
      </c>
      <c r="I88" s="25" t="str">
        <f t="shared" si="10"/>
        <v>Sensitive</v>
      </c>
      <c r="J88" s="25">
        <v>13</v>
      </c>
      <c r="K88" s="25" t="str">
        <f t="shared" si="11"/>
        <v>Resistant</v>
      </c>
      <c r="L88" s="25">
        <v>19</v>
      </c>
      <c r="M88" s="29" t="str">
        <f t="shared" si="12"/>
        <v>Resistant</v>
      </c>
      <c r="N88" s="25">
        <f t="shared" si="13"/>
        <v>2</v>
      </c>
      <c r="O88" s="25" t="str">
        <f t="shared" si="7"/>
        <v>Susceptible</v>
      </c>
    </row>
    <row r="89" spans="1:15">
      <c r="A89" s="20" t="s">
        <v>162</v>
      </c>
      <c r="B89" s="9" t="s">
        <v>64</v>
      </c>
      <c r="C89" s="21" t="s">
        <v>58</v>
      </c>
      <c r="D89" s="9">
        <v>22</v>
      </c>
      <c r="E89" s="17" t="str">
        <f t="shared" si="8"/>
        <v>Intermediate</v>
      </c>
      <c r="F89" s="9">
        <v>25</v>
      </c>
      <c r="G89" s="17" t="str">
        <f t="shared" si="9"/>
        <v>Sensitive</v>
      </c>
      <c r="H89" s="9">
        <v>18</v>
      </c>
      <c r="I89" s="9" t="str">
        <f t="shared" si="10"/>
        <v>Sensitive</v>
      </c>
      <c r="J89" s="9">
        <v>7</v>
      </c>
      <c r="K89" s="9" t="str">
        <f t="shared" si="11"/>
        <v>Resistant</v>
      </c>
      <c r="L89" s="9">
        <v>20</v>
      </c>
      <c r="M89" s="28" t="str">
        <f t="shared" si="12"/>
        <v>Resistant</v>
      </c>
      <c r="N89" s="9">
        <f t="shared" si="13"/>
        <v>2</v>
      </c>
      <c r="O89" s="9" t="str">
        <f t="shared" si="7"/>
        <v>Susceptible</v>
      </c>
    </row>
    <row r="90" spans="1:15">
      <c r="A90" s="24" t="s">
        <v>163</v>
      </c>
      <c r="B90" s="25" t="s">
        <v>64</v>
      </c>
      <c r="C90" s="26" t="s">
        <v>58</v>
      </c>
      <c r="D90" s="25">
        <v>20</v>
      </c>
      <c r="E90" s="17" t="str">
        <f t="shared" si="8"/>
        <v>Intermediate</v>
      </c>
      <c r="F90" s="25">
        <v>13</v>
      </c>
      <c r="G90" s="17" t="str">
        <f t="shared" si="9"/>
        <v>Resistant</v>
      </c>
      <c r="H90" s="25">
        <v>0</v>
      </c>
      <c r="I90" s="25" t="str">
        <f t="shared" si="10"/>
        <v>Resistant</v>
      </c>
      <c r="J90" s="25">
        <v>0</v>
      </c>
      <c r="K90" s="25" t="str">
        <f t="shared" si="11"/>
        <v>Resistant</v>
      </c>
      <c r="L90" s="25">
        <v>0</v>
      </c>
      <c r="M90" s="29" t="str">
        <f t="shared" si="12"/>
        <v>Resistant</v>
      </c>
      <c r="N90" s="25">
        <f t="shared" si="13"/>
        <v>4</v>
      </c>
      <c r="O90" s="25" t="str">
        <f t="shared" si="7"/>
        <v>XDR</v>
      </c>
    </row>
    <row r="91" spans="1:15">
      <c r="A91" s="20" t="s">
        <v>164</v>
      </c>
      <c r="B91" s="9" t="s">
        <v>64</v>
      </c>
      <c r="C91" s="21" t="s">
        <v>58</v>
      </c>
      <c r="D91" s="9">
        <v>20</v>
      </c>
      <c r="E91" s="17" t="str">
        <f t="shared" si="8"/>
        <v>Intermediate</v>
      </c>
      <c r="F91" s="9">
        <v>0</v>
      </c>
      <c r="G91" s="17" t="str">
        <f t="shared" si="9"/>
        <v>Resistant</v>
      </c>
      <c r="H91" s="9">
        <v>8</v>
      </c>
      <c r="I91" s="9" t="str">
        <f t="shared" si="10"/>
        <v>Resistant</v>
      </c>
      <c r="J91" s="9">
        <v>0</v>
      </c>
      <c r="K91" s="9" t="str">
        <f t="shared" si="11"/>
        <v>Resistant</v>
      </c>
      <c r="L91" s="9">
        <v>20</v>
      </c>
      <c r="M91" s="28" t="str">
        <f t="shared" si="12"/>
        <v>Resistant</v>
      </c>
      <c r="N91" s="9">
        <f t="shared" si="13"/>
        <v>4</v>
      </c>
      <c r="O91" s="9" t="str">
        <f t="shared" si="7"/>
        <v>XDR</v>
      </c>
    </row>
    <row r="92" spans="1:15">
      <c r="A92" s="24" t="s">
        <v>165</v>
      </c>
      <c r="B92" s="25" t="s">
        <v>64</v>
      </c>
      <c r="C92" s="26" t="s">
        <v>58</v>
      </c>
      <c r="D92" s="25">
        <v>23</v>
      </c>
      <c r="E92" s="17" t="str">
        <f t="shared" si="8"/>
        <v>Sensitive</v>
      </c>
      <c r="F92" s="25">
        <v>0</v>
      </c>
      <c r="G92" s="17" t="str">
        <f t="shared" si="9"/>
        <v>Resistant</v>
      </c>
      <c r="H92" s="25">
        <v>15</v>
      </c>
      <c r="I92" s="25" t="str">
        <f t="shared" si="10"/>
        <v>Sensitive</v>
      </c>
      <c r="J92" s="25">
        <v>0</v>
      </c>
      <c r="K92" s="25" t="str">
        <f t="shared" si="11"/>
        <v>Resistant</v>
      </c>
      <c r="L92" s="25">
        <v>25</v>
      </c>
      <c r="M92" s="29" t="str">
        <f t="shared" si="12"/>
        <v>Intermediate</v>
      </c>
      <c r="N92" s="25">
        <f t="shared" si="13"/>
        <v>2</v>
      </c>
      <c r="O92" s="25" t="str">
        <f t="shared" si="7"/>
        <v>Susceptible</v>
      </c>
    </row>
    <row r="93" spans="1:15">
      <c r="A93" s="20" t="s">
        <v>166</v>
      </c>
      <c r="B93" s="9" t="s">
        <v>64</v>
      </c>
      <c r="C93" s="21" t="s">
        <v>58</v>
      </c>
      <c r="D93" s="9">
        <v>25</v>
      </c>
      <c r="E93" s="17" t="str">
        <f t="shared" si="8"/>
        <v>Sensitive</v>
      </c>
      <c r="F93" s="9">
        <v>11</v>
      </c>
      <c r="G93" s="17" t="str">
        <f t="shared" si="9"/>
        <v>Resistant</v>
      </c>
      <c r="H93" s="9">
        <v>16</v>
      </c>
      <c r="I93" s="9" t="str">
        <f t="shared" si="10"/>
        <v>Sensitive</v>
      </c>
      <c r="J93" s="9">
        <v>0</v>
      </c>
      <c r="K93" s="9" t="str">
        <f t="shared" si="11"/>
        <v>Resistant</v>
      </c>
      <c r="L93" s="9">
        <v>15</v>
      </c>
      <c r="M93" s="28" t="str">
        <f t="shared" si="12"/>
        <v>Resistant</v>
      </c>
      <c r="N93" s="9">
        <f t="shared" si="13"/>
        <v>3</v>
      </c>
      <c r="O93" s="9" t="str">
        <f t="shared" si="7"/>
        <v>MDR</v>
      </c>
    </row>
    <row r="94" spans="1:15">
      <c r="A94" s="24" t="s">
        <v>167</v>
      </c>
      <c r="B94" s="25" t="s">
        <v>64</v>
      </c>
      <c r="C94" s="26" t="s">
        <v>58</v>
      </c>
      <c r="D94" s="25">
        <v>23</v>
      </c>
      <c r="E94" s="17" t="str">
        <f t="shared" si="8"/>
        <v>Sensitive</v>
      </c>
      <c r="F94" s="25">
        <v>13</v>
      </c>
      <c r="G94" s="17" t="str">
        <f t="shared" si="9"/>
        <v>Resistant</v>
      </c>
      <c r="H94" s="25">
        <v>15</v>
      </c>
      <c r="I94" s="25" t="str">
        <f t="shared" si="10"/>
        <v>Sensitive</v>
      </c>
      <c r="J94" s="25">
        <v>0</v>
      </c>
      <c r="K94" s="25" t="str">
        <f t="shared" si="11"/>
        <v>Resistant</v>
      </c>
      <c r="L94" s="25">
        <v>17</v>
      </c>
      <c r="M94" s="29" t="str">
        <f t="shared" si="12"/>
        <v>Resistant</v>
      </c>
      <c r="N94" s="25">
        <f t="shared" si="13"/>
        <v>3</v>
      </c>
      <c r="O94" s="25" t="str">
        <f t="shared" si="7"/>
        <v>MDR</v>
      </c>
    </row>
    <row r="95" spans="1:15">
      <c r="A95" s="20" t="s">
        <v>168</v>
      </c>
      <c r="B95" s="9" t="s">
        <v>64</v>
      </c>
      <c r="C95" s="21" t="s">
        <v>58</v>
      </c>
      <c r="D95" s="9">
        <v>27</v>
      </c>
      <c r="E95" s="17" t="str">
        <f t="shared" si="8"/>
        <v>Sensitive</v>
      </c>
      <c r="F95" s="9">
        <v>8</v>
      </c>
      <c r="G95" s="17" t="str">
        <f t="shared" si="9"/>
        <v>Resistant</v>
      </c>
      <c r="H95" s="9">
        <v>20</v>
      </c>
      <c r="I95" s="9" t="str">
        <f t="shared" si="10"/>
        <v>Sensitive</v>
      </c>
      <c r="J95" s="9">
        <v>12</v>
      </c>
      <c r="K95" s="9" t="str">
        <f t="shared" si="11"/>
        <v>Resistant</v>
      </c>
      <c r="L95" s="9">
        <v>0</v>
      </c>
      <c r="M95" s="28" t="str">
        <f t="shared" si="12"/>
        <v>Resistant</v>
      </c>
      <c r="N95" s="9">
        <f t="shared" si="13"/>
        <v>3</v>
      </c>
      <c r="O95" s="9" t="str">
        <f t="shared" si="7"/>
        <v>MDR</v>
      </c>
    </row>
    <row r="96" spans="1:15">
      <c r="A96" s="24" t="s">
        <v>169</v>
      </c>
      <c r="B96" s="25" t="s">
        <v>64</v>
      </c>
      <c r="C96" s="26" t="s">
        <v>58</v>
      </c>
      <c r="D96" s="25">
        <v>25</v>
      </c>
      <c r="E96" s="17" t="str">
        <f t="shared" si="8"/>
        <v>Sensitive</v>
      </c>
      <c r="F96" s="25">
        <v>0</v>
      </c>
      <c r="G96" s="17" t="str">
        <f t="shared" si="9"/>
        <v>Resistant</v>
      </c>
      <c r="H96" s="25">
        <v>17</v>
      </c>
      <c r="I96" s="25" t="str">
        <f t="shared" si="10"/>
        <v>Sensitive</v>
      </c>
      <c r="J96" s="25">
        <v>0</v>
      </c>
      <c r="K96" s="25" t="str">
        <f t="shared" si="11"/>
        <v>Resistant</v>
      </c>
      <c r="L96" s="25">
        <v>11</v>
      </c>
      <c r="M96" s="29" t="str">
        <f t="shared" si="12"/>
        <v>Resistant</v>
      </c>
      <c r="N96" s="25">
        <f t="shared" si="13"/>
        <v>3</v>
      </c>
      <c r="O96" s="25" t="str">
        <f t="shared" si="7"/>
        <v>MDR</v>
      </c>
    </row>
    <row r="97" spans="1:15">
      <c r="A97" s="20" t="s">
        <v>170</v>
      </c>
      <c r="B97" s="9" t="s">
        <v>64</v>
      </c>
      <c r="C97" s="21" t="s">
        <v>58</v>
      </c>
      <c r="D97" s="9">
        <v>25</v>
      </c>
      <c r="E97" s="17" t="str">
        <f t="shared" si="8"/>
        <v>Sensitive</v>
      </c>
      <c r="F97" s="9">
        <v>0</v>
      </c>
      <c r="G97" s="17" t="str">
        <f t="shared" si="9"/>
        <v>Resistant</v>
      </c>
      <c r="H97" s="9">
        <v>16</v>
      </c>
      <c r="I97" s="9" t="str">
        <f t="shared" si="10"/>
        <v>Sensitive</v>
      </c>
      <c r="J97" s="9">
        <v>0</v>
      </c>
      <c r="K97" s="9" t="str">
        <f t="shared" si="11"/>
        <v>Resistant</v>
      </c>
      <c r="L97" s="9">
        <v>19</v>
      </c>
      <c r="M97" s="28" t="str">
        <f t="shared" si="12"/>
        <v>Resistant</v>
      </c>
      <c r="N97" s="9">
        <f t="shared" si="13"/>
        <v>3</v>
      </c>
      <c r="O97" s="9" t="str">
        <f t="shared" si="7"/>
        <v>MDR</v>
      </c>
    </row>
    <row r="98" spans="1:15">
      <c r="A98" s="24" t="s">
        <v>171</v>
      </c>
      <c r="B98" s="25" t="s">
        <v>64</v>
      </c>
      <c r="C98" s="26" t="s">
        <v>60</v>
      </c>
      <c r="D98" s="25">
        <v>23</v>
      </c>
      <c r="E98" s="17" t="str">
        <f t="shared" si="8"/>
        <v>Sensitive</v>
      </c>
      <c r="F98" s="25">
        <v>10</v>
      </c>
      <c r="G98" s="17" t="str">
        <f t="shared" si="9"/>
        <v>Resistant</v>
      </c>
      <c r="H98" s="25">
        <v>15</v>
      </c>
      <c r="I98" s="25" t="str">
        <f t="shared" si="10"/>
        <v>Sensitive</v>
      </c>
      <c r="J98" s="25">
        <v>0</v>
      </c>
      <c r="K98" s="25" t="str">
        <f t="shared" si="11"/>
        <v>Resistant</v>
      </c>
      <c r="L98" s="25">
        <v>15</v>
      </c>
      <c r="M98" s="29" t="str">
        <f t="shared" si="12"/>
        <v>Resistant</v>
      </c>
      <c r="N98" s="25">
        <f t="shared" si="13"/>
        <v>3</v>
      </c>
      <c r="O98" s="25" t="str">
        <f t="shared" si="7"/>
        <v>MDR</v>
      </c>
    </row>
    <row r="99" spans="1:15">
      <c r="A99" s="20" t="s">
        <v>172</v>
      </c>
      <c r="B99" s="9" t="s">
        <v>64</v>
      </c>
      <c r="C99" s="21" t="s">
        <v>60</v>
      </c>
      <c r="D99" s="9">
        <v>20</v>
      </c>
      <c r="E99" s="17" t="str">
        <f t="shared" si="8"/>
        <v>Intermediate</v>
      </c>
      <c r="F99" s="9">
        <v>11</v>
      </c>
      <c r="G99" s="17" t="str">
        <f t="shared" si="9"/>
        <v>Resistant</v>
      </c>
      <c r="H99" s="9">
        <v>14</v>
      </c>
      <c r="I99" s="9" t="str">
        <f t="shared" si="10"/>
        <v>Intermediate</v>
      </c>
      <c r="J99" s="9">
        <v>0</v>
      </c>
      <c r="K99" s="9" t="str">
        <f t="shared" si="11"/>
        <v>Resistant</v>
      </c>
      <c r="L99" s="9">
        <v>20</v>
      </c>
      <c r="M99" s="28" t="str">
        <f t="shared" si="12"/>
        <v>Resistant</v>
      </c>
      <c r="N99" s="9">
        <f t="shared" si="13"/>
        <v>3</v>
      </c>
      <c r="O99" s="9" t="str">
        <f t="shared" si="7"/>
        <v>MDR</v>
      </c>
    </row>
    <row r="100" spans="1:15">
      <c r="A100" s="24" t="s">
        <v>173</v>
      </c>
      <c r="B100" s="25" t="s">
        <v>64</v>
      </c>
      <c r="C100" s="26" t="s">
        <v>60</v>
      </c>
      <c r="D100" s="25">
        <v>20</v>
      </c>
      <c r="E100" s="17" t="str">
        <f t="shared" si="8"/>
        <v>Intermediate</v>
      </c>
      <c r="F100" s="25">
        <v>11</v>
      </c>
      <c r="G100" s="17" t="str">
        <f t="shared" si="9"/>
        <v>Resistant</v>
      </c>
      <c r="H100" s="25">
        <v>10</v>
      </c>
      <c r="I100" s="25" t="str">
        <f t="shared" si="10"/>
        <v>Resistant</v>
      </c>
      <c r="J100" s="25">
        <v>0</v>
      </c>
      <c r="K100" s="25" t="str">
        <f t="shared" si="11"/>
        <v>Resistant</v>
      </c>
      <c r="L100" s="25">
        <v>17</v>
      </c>
      <c r="M100" s="29" t="str">
        <f t="shared" si="12"/>
        <v>Resistant</v>
      </c>
      <c r="N100" s="25">
        <f t="shared" si="13"/>
        <v>4</v>
      </c>
      <c r="O100" s="25" t="str">
        <f t="shared" si="7"/>
        <v>XDR</v>
      </c>
    </row>
    <row r="101" spans="1:15">
      <c r="A101" s="20" t="s">
        <v>174</v>
      </c>
      <c r="B101" s="9" t="s">
        <v>64</v>
      </c>
      <c r="C101" s="21" t="s">
        <v>60</v>
      </c>
      <c r="D101" s="9">
        <v>20</v>
      </c>
      <c r="E101" s="17" t="str">
        <f t="shared" si="8"/>
        <v>Intermediate</v>
      </c>
      <c r="F101" s="9">
        <v>0</v>
      </c>
      <c r="G101" s="17" t="str">
        <f t="shared" si="9"/>
        <v>Resistant</v>
      </c>
      <c r="H101" s="9">
        <v>15</v>
      </c>
      <c r="I101" s="9" t="str">
        <f t="shared" si="10"/>
        <v>Sensitive</v>
      </c>
      <c r="J101" s="9">
        <v>0</v>
      </c>
      <c r="K101" s="9" t="str">
        <f t="shared" si="11"/>
        <v>Resistant</v>
      </c>
      <c r="L101" s="9">
        <v>0</v>
      </c>
      <c r="M101" s="28" t="str">
        <f t="shared" si="12"/>
        <v>Resistant</v>
      </c>
      <c r="N101" s="9">
        <f t="shared" si="13"/>
        <v>3</v>
      </c>
      <c r="O101" s="9" t="str">
        <f t="shared" si="7"/>
        <v>MDR</v>
      </c>
    </row>
    <row r="102" spans="1:15">
      <c r="A102" s="24" t="s">
        <v>175</v>
      </c>
      <c r="B102" s="25" t="s">
        <v>64</v>
      </c>
      <c r="C102" s="26" t="s">
        <v>60</v>
      </c>
      <c r="D102" s="25">
        <v>20</v>
      </c>
      <c r="E102" s="17" t="str">
        <f t="shared" si="8"/>
        <v>Intermediate</v>
      </c>
      <c r="F102" s="25">
        <v>12</v>
      </c>
      <c r="G102" s="17" t="str">
        <f t="shared" si="9"/>
        <v>Resistant</v>
      </c>
      <c r="H102" s="25">
        <v>17</v>
      </c>
      <c r="I102" s="25" t="str">
        <f t="shared" si="10"/>
        <v>Sensitive</v>
      </c>
      <c r="J102" s="25">
        <v>0</v>
      </c>
      <c r="K102" s="25" t="str">
        <f t="shared" si="11"/>
        <v>Resistant</v>
      </c>
      <c r="L102" s="25">
        <v>17</v>
      </c>
      <c r="M102" s="29" t="str">
        <f t="shared" si="12"/>
        <v>Resistant</v>
      </c>
      <c r="N102" s="25">
        <f t="shared" si="13"/>
        <v>3</v>
      </c>
      <c r="O102" s="25" t="str">
        <f t="shared" si="7"/>
        <v>MDR</v>
      </c>
    </row>
    <row r="103" spans="1:15">
      <c r="A103" s="20" t="s">
        <v>176</v>
      </c>
      <c r="B103" s="9" t="s">
        <v>64</v>
      </c>
      <c r="C103" s="21" t="s">
        <v>60</v>
      </c>
      <c r="D103" s="9">
        <v>23</v>
      </c>
      <c r="E103" s="17" t="str">
        <f t="shared" si="8"/>
        <v>Sensitive</v>
      </c>
      <c r="F103" s="9">
        <v>15</v>
      </c>
      <c r="G103" s="17" t="str">
        <f t="shared" si="9"/>
        <v>Resistant</v>
      </c>
      <c r="H103" s="9">
        <v>15</v>
      </c>
      <c r="I103" s="9" t="str">
        <f t="shared" si="10"/>
        <v>Sensitive</v>
      </c>
      <c r="J103" s="9">
        <v>0</v>
      </c>
      <c r="K103" s="9" t="str">
        <f t="shared" si="11"/>
        <v>Resistant</v>
      </c>
      <c r="L103" s="9">
        <v>7</v>
      </c>
      <c r="M103" s="28" t="str">
        <f t="shared" si="12"/>
        <v>Resistant</v>
      </c>
      <c r="N103" s="9">
        <f t="shared" si="13"/>
        <v>3</v>
      </c>
      <c r="O103" s="9" t="str">
        <f t="shared" si="7"/>
        <v>MDR</v>
      </c>
    </row>
    <row r="104" spans="1:15">
      <c r="A104" s="24" t="s">
        <v>177</v>
      </c>
      <c r="B104" s="25" t="s">
        <v>64</v>
      </c>
      <c r="C104" s="26" t="s">
        <v>60</v>
      </c>
      <c r="D104" s="25">
        <v>25</v>
      </c>
      <c r="E104" s="17" t="str">
        <f t="shared" si="8"/>
        <v>Sensitive</v>
      </c>
      <c r="F104" s="25">
        <v>0</v>
      </c>
      <c r="G104" s="17" t="str">
        <f t="shared" si="9"/>
        <v>Resistant</v>
      </c>
      <c r="H104" s="25">
        <v>17</v>
      </c>
      <c r="I104" s="25" t="str">
        <f t="shared" si="10"/>
        <v>Sensitive</v>
      </c>
      <c r="J104" s="25">
        <v>7</v>
      </c>
      <c r="K104" s="25" t="str">
        <f t="shared" si="11"/>
        <v>Resistant</v>
      </c>
      <c r="L104" s="25">
        <v>21</v>
      </c>
      <c r="M104" s="29" t="str">
        <f t="shared" si="12"/>
        <v>Resistant</v>
      </c>
      <c r="N104" s="25">
        <f t="shared" si="13"/>
        <v>3</v>
      </c>
      <c r="O104" s="25" t="str">
        <f t="shared" si="7"/>
        <v>MDR</v>
      </c>
    </row>
    <row r="105" spans="1:15">
      <c r="A105" s="20" t="s">
        <v>178</v>
      </c>
      <c r="B105" s="9" t="s">
        <v>64</v>
      </c>
      <c r="C105" s="21" t="s">
        <v>60</v>
      </c>
      <c r="D105" s="9">
        <v>30</v>
      </c>
      <c r="E105" s="17" t="str">
        <f t="shared" si="8"/>
        <v>Sensitive</v>
      </c>
      <c r="F105" s="9">
        <v>0</v>
      </c>
      <c r="G105" s="17" t="str">
        <f t="shared" si="9"/>
        <v>Resistant</v>
      </c>
      <c r="H105" s="9">
        <v>19</v>
      </c>
      <c r="I105" s="9" t="str">
        <f t="shared" si="10"/>
        <v>Sensitive</v>
      </c>
      <c r="J105" s="9">
        <v>15</v>
      </c>
      <c r="K105" s="9" t="str">
        <f t="shared" si="11"/>
        <v>Intermediate</v>
      </c>
      <c r="L105" s="9">
        <v>25</v>
      </c>
      <c r="M105" s="28" t="str">
        <f t="shared" si="12"/>
        <v>Intermediate</v>
      </c>
      <c r="N105" s="9">
        <f t="shared" si="13"/>
        <v>1</v>
      </c>
      <c r="O105" s="9" t="str">
        <f t="shared" si="7"/>
        <v>Susceptible</v>
      </c>
    </row>
    <row r="106" spans="1:15">
      <c r="A106" s="24" t="s">
        <v>179</v>
      </c>
      <c r="B106" s="25" t="s">
        <v>64</v>
      </c>
      <c r="C106" s="26" t="s">
        <v>60</v>
      </c>
      <c r="D106" s="25">
        <v>15</v>
      </c>
      <c r="E106" s="17" t="str">
        <f t="shared" si="8"/>
        <v>Resistant</v>
      </c>
      <c r="F106" s="25">
        <v>0</v>
      </c>
      <c r="G106" s="17" t="str">
        <f t="shared" si="9"/>
        <v>Resistant</v>
      </c>
      <c r="H106" s="25">
        <v>0</v>
      </c>
      <c r="I106" s="25" t="str">
        <f t="shared" si="10"/>
        <v>Resistant</v>
      </c>
      <c r="J106" s="25">
        <v>0</v>
      </c>
      <c r="K106" s="25" t="str">
        <f t="shared" si="11"/>
        <v>Resistant</v>
      </c>
      <c r="L106" s="25">
        <v>24</v>
      </c>
      <c r="M106" s="29" t="str">
        <f t="shared" si="12"/>
        <v>Intermediate</v>
      </c>
      <c r="N106" s="25">
        <f t="shared" si="13"/>
        <v>4</v>
      </c>
      <c r="O106" s="25" t="str">
        <f t="shared" si="7"/>
        <v>XDR</v>
      </c>
    </row>
    <row r="107" spans="1:15">
      <c r="A107" s="20" t="s">
        <v>180</v>
      </c>
      <c r="B107" s="9" t="s">
        <v>64</v>
      </c>
      <c r="C107" s="21" t="s">
        <v>60</v>
      </c>
      <c r="D107" s="9">
        <v>30</v>
      </c>
      <c r="E107" s="17" t="str">
        <f t="shared" si="8"/>
        <v>Sensitive</v>
      </c>
      <c r="F107" s="9">
        <v>0</v>
      </c>
      <c r="G107" s="17" t="str">
        <f t="shared" si="9"/>
        <v>Resistant</v>
      </c>
      <c r="H107" s="9">
        <v>15</v>
      </c>
      <c r="I107" s="9" t="str">
        <f t="shared" si="10"/>
        <v>Sensitive</v>
      </c>
      <c r="J107" s="9">
        <v>7</v>
      </c>
      <c r="K107" s="9" t="str">
        <f t="shared" si="11"/>
        <v>Resistant</v>
      </c>
      <c r="L107" s="9">
        <v>20</v>
      </c>
      <c r="M107" s="28" t="str">
        <f t="shared" si="12"/>
        <v>Resistant</v>
      </c>
      <c r="N107" s="9">
        <f t="shared" si="13"/>
        <v>3</v>
      </c>
      <c r="O107" s="9" t="str">
        <f t="shared" si="7"/>
        <v>MDR</v>
      </c>
    </row>
    <row r="108" spans="1:15">
      <c r="A108" s="24" t="s">
        <v>181</v>
      </c>
      <c r="B108" s="25" t="s">
        <v>64</v>
      </c>
      <c r="C108" s="26" t="s">
        <v>60</v>
      </c>
      <c r="D108" s="25">
        <v>20</v>
      </c>
      <c r="E108" s="17" t="str">
        <f t="shared" si="8"/>
        <v>Intermediate</v>
      </c>
      <c r="F108" s="25">
        <v>0</v>
      </c>
      <c r="G108" s="17" t="str">
        <f t="shared" si="9"/>
        <v>Resistant</v>
      </c>
      <c r="H108" s="25">
        <v>16</v>
      </c>
      <c r="I108" s="25" t="str">
        <f t="shared" si="10"/>
        <v>Sensitive</v>
      </c>
      <c r="J108" s="25">
        <v>0</v>
      </c>
      <c r="K108" s="25" t="str">
        <f t="shared" si="11"/>
        <v>Resistant</v>
      </c>
      <c r="L108" s="25">
        <v>15</v>
      </c>
      <c r="M108" s="29" t="str">
        <f t="shared" si="12"/>
        <v>Resistant</v>
      </c>
      <c r="N108" s="25">
        <f t="shared" si="13"/>
        <v>3</v>
      </c>
      <c r="O108" s="25" t="str">
        <f t="shared" si="7"/>
        <v>MDR</v>
      </c>
    </row>
    <row r="109" spans="1:15">
      <c r="A109" s="20" t="s">
        <v>182</v>
      </c>
      <c r="B109" s="9" t="s">
        <v>64</v>
      </c>
      <c r="C109" s="21" t="s">
        <v>60</v>
      </c>
      <c r="D109" s="9">
        <v>25</v>
      </c>
      <c r="E109" s="17" t="str">
        <f t="shared" si="8"/>
        <v>Sensitive</v>
      </c>
      <c r="F109" s="9">
        <v>0</v>
      </c>
      <c r="G109" s="17" t="str">
        <f t="shared" si="9"/>
        <v>Resistant</v>
      </c>
      <c r="H109" s="9">
        <v>20</v>
      </c>
      <c r="I109" s="9" t="str">
        <f t="shared" si="10"/>
        <v>Sensitive</v>
      </c>
      <c r="J109" s="9">
        <v>0</v>
      </c>
      <c r="K109" s="9" t="str">
        <f t="shared" si="11"/>
        <v>Resistant</v>
      </c>
      <c r="L109" s="9">
        <v>20</v>
      </c>
      <c r="M109" s="28" t="str">
        <f t="shared" si="12"/>
        <v>Resistant</v>
      </c>
      <c r="N109" s="9">
        <f t="shared" si="13"/>
        <v>3</v>
      </c>
      <c r="O109" s="9" t="str">
        <f t="shared" si="7"/>
        <v>MDR</v>
      </c>
    </row>
    <row r="110" spans="1:15">
      <c r="A110" s="24" t="s">
        <v>183</v>
      </c>
      <c r="B110" s="25" t="s">
        <v>64</v>
      </c>
      <c r="C110" s="26" t="s">
        <v>60</v>
      </c>
      <c r="D110" s="25">
        <v>20</v>
      </c>
      <c r="E110" s="17" t="str">
        <f t="shared" si="8"/>
        <v>Intermediate</v>
      </c>
      <c r="F110" s="25">
        <v>0</v>
      </c>
      <c r="G110" s="17" t="str">
        <f t="shared" si="9"/>
        <v>Resistant</v>
      </c>
      <c r="H110" s="25">
        <v>19</v>
      </c>
      <c r="I110" s="25" t="str">
        <f t="shared" si="10"/>
        <v>Sensitive</v>
      </c>
      <c r="J110" s="25">
        <v>0</v>
      </c>
      <c r="K110" s="25" t="str">
        <f t="shared" si="11"/>
        <v>Resistant</v>
      </c>
      <c r="L110" s="25">
        <v>22</v>
      </c>
      <c r="M110" s="29" t="str">
        <f t="shared" si="12"/>
        <v>Intermediate</v>
      </c>
      <c r="N110" s="25">
        <f t="shared" si="13"/>
        <v>2</v>
      </c>
      <c r="O110" s="25" t="str">
        <f t="shared" si="7"/>
        <v>Susceptible</v>
      </c>
    </row>
    <row r="111" spans="1:15">
      <c r="A111" s="20" t="s">
        <v>184</v>
      </c>
      <c r="B111" s="9" t="s">
        <v>64</v>
      </c>
      <c r="C111" s="21" t="s">
        <v>60</v>
      </c>
      <c r="D111" s="9">
        <v>20</v>
      </c>
      <c r="E111" s="17" t="str">
        <f t="shared" si="8"/>
        <v>Intermediate</v>
      </c>
      <c r="F111" s="9">
        <v>0</v>
      </c>
      <c r="G111" s="17" t="str">
        <f t="shared" si="9"/>
        <v>Resistant</v>
      </c>
      <c r="H111" s="9">
        <v>15</v>
      </c>
      <c r="I111" s="9" t="str">
        <f t="shared" si="10"/>
        <v>Sensitive</v>
      </c>
      <c r="J111" s="9">
        <v>0</v>
      </c>
      <c r="K111" s="9" t="str">
        <f t="shared" si="11"/>
        <v>Resistant</v>
      </c>
      <c r="L111" s="9">
        <v>20</v>
      </c>
      <c r="M111" s="28" t="str">
        <f t="shared" si="12"/>
        <v>Resistant</v>
      </c>
      <c r="N111" s="9">
        <f t="shared" si="13"/>
        <v>3</v>
      </c>
      <c r="O111" s="9" t="str">
        <f t="shared" si="7"/>
        <v>MDR</v>
      </c>
    </row>
    <row r="112" spans="1:15">
      <c r="A112" s="24" t="s">
        <v>185</v>
      </c>
      <c r="B112" s="25" t="s">
        <v>64</v>
      </c>
      <c r="C112" s="26" t="s">
        <v>60</v>
      </c>
      <c r="D112" s="25">
        <v>30</v>
      </c>
      <c r="E112" s="17" t="str">
        <f t="shared" si="8"/>
        <v>Sensitive</v>
      </c>
      <c r="F112" s="25">
        <v>7</v>
      </c>
      <c r="G112" s="17" t="str">
        <f t="shared" si="9"/>
        <v>Resistant</v>
      </c>
      <c r="H112" s="25">
        <v>19</v>
      </c>
      <c r="I112" s="25" t="str">
        <f t="shared" si="10"/>
        <v>Sensitive</v>
      </c>
      <c r="J112" s="25">
        <v>0</v>
      </c>
      <c r="K112" s="25" t="str">
        <f t="shared" si="11"/>
        <v>Resistant</v>
      </c>
      <c r="L112" s="25">
        <v>22</v>
      </c>
      <c r="M112" s="29" t="str">
        <f t="shared" si="12"/>
        <v>Intermediate</v>
      </c>
      <c r="N112" s="25">
        <f t="shared" si="13"/>
        <v>2</v>
      </c>
      <c r="O112" s="25" t="str">
        <f t="shared" si="7"/>
        <v>Susceptible</v>
      </c>
    </row>
    <row r="113" spans="1:15">
      <c r="A113" s="20" t="s">
        <v>186</v>
      </c>
      <c r="B113" s="9" t="s">
        <v>64</v>
      </c>
      <c r="C113" s="21" t="s">
        <v>60</v>
      </c>
      <c r="D113" s="9">
        <v>20</v>
      </c>
      <c r="E113" s="17" t="str">
        <f t="shared" si="8"/>
        <v>Intermediate</v>
      </c>
      <c r="F113" s="9">
        <v>20</v>
      </c>
      <c r="G113" s="17" t="str">
        <f t="shared" si="9"/>
        <v>Intermediate</v>
      </c>
      <c r="H113" s="9">
        <v>10</v>
      </c>
      <c r="I113" s="9" t="str">
        <f t="shared" si="10"/>
        <v>Resistant</v>
      </c>
      <c r="J113" s="9">
        <v>0</v>
      </c>
      <c r="K113" s="9" t="str">
        <f t="shared" si="11"/>
        <v>Resistant</v>
      </c>
      <c r="L113" s="9">
        <v>20</v>
      </c>
      <c r="M113" s="28" t="str">
        <f t="shared" si="12"/>
        <v>Resistant</v>
      </c>
      <c r="N113" s="9">
        <f t="shared" si="13"/>
        <v>3</v>
      </c>
      <c r="O113" s="9" t="str">
        <f t="shared" si="7"/>
        <v>MDR</v>
      </c>
    </row>
    <row r="114" spans="1:15">
      <c r="A114" s="24" t="s">
        <v>187</v>
      </c>
      <c r="B114" s="25" t="s">
        <v>64</v>
      </c>
      <c r="C114" s="26" t="s">
        <v>60</v>
      </c>
      <c r="D114" s="25">
        <v>25</v>
      </c>
      <c r="E114" s="17" t="str">
        <f t="shared" si="8"/>
        <v>Sensitive</v>
      </c>
      <c r="F114" s="25">
        <v>0</v>
      </c>
      <c r="G114" s="17" t="str">
        <f t="shared" si="9"/>
        <v>Resistant</v>
      </c>
      <c r="H114" s="25">
        <v>28</v>
      </c>
      <c r="I114" s="25" t="str">
        <f t="shared" si="10"/>
        <v>Sensitive</v>
      </c>
      <c r="J114" s="25">
        <v>0</v>
      </c>
      <c r="K114" s="25" t="str">
        <f t="shared" si="11"/>
        <v>Resistant</v>
      </c>
      <c r="L114" s="25">
        <v>25</v>
      </c>
      <c r="M114" s="29" t="str">
        <f t="shared" si="12"/>
        <v>Intermediate</v>
      </c>
      <c r="N114" s="25">
        <f t="shared" si="13"/>
        <v>2</v>
      </c>
      <c r="O114" s="25" t="str">
        <f t="shared" si="7"/>
        <v>Susceptible</v>
      </c>
    </row>
    <row r="115" spans="1:15">
      <c r="A115" s="20" t="s">
        <v>188</v>
      </c>
      <c r="B115" s="9" t="s">
        <v>64</v>
      </c>
      <c r="C115" s="21" t="s">
        <v>60</v>
      </c>
      <c r="D115" s="9">
        <v>20</v>
      </c>
      <c r="E115" s="17" t="str">
        <f t="shared" si="8"/>
        <v>Intermediate</v>
      </c>
      <c r="F115" s="9">
        <v>0</v>
      </c>
      <c r="G115" s="17" t="str">
        <f t="shared" si="9"/>
        <v>Resistant</v>
      </c>
      <c r="H115" s="9">
        <v>20</v>
      </c>
      <c r="I115" s="9" t="str">
        <f t="shared" si="10"/>
        <v>Sensitive</v>
      </c>
      <c r="J115" s="9">
        <v>0</v>
      </c>
      <c r="K115" s="9" t="str">
        <f t="shared" si="11"/>
        <v>Resistant</v>
      </c>
      <c r="L115" s="9">
        <v>20</v>
      </c>
      <c r="M115" s="28" t="str">
        <f t="shared" si="12"/>
        <v>Resistant</v>
      </c>
      <c r="N115" s="9">
        <f t="shared" si="13"/>
        <v>3</v>
      </c>
      <c r="O115" s="9" t="str">
        <f t="shared" si="7"/>
        <v>MDR</v>
      </c>
    </row>
    <row r="116" spans="1:15">
      <c r="A116" s="24" t="s">
        <v>189</v>
      </c>
      <c r="B116" s="25" t="s">
        <v>64</v>
      </c>
      <c r="C116" s="26" t="s">
        <v>60</v>
      </c>
      <c r="D116" s="25">
        <v>30</v>
      </c>
      <c r="E116" s="17" t="str">
        <f t="shared" si="8"/>
        <v>Sensitive</v>
      </c>
      <c r="F116" s="25">
        <v>0</v>
      </c>
      <c r="G116" s="17" t="str">
        <f t="shared" si="9"/>
        <v>Resistant</v>
      </c>
      <c r="H116" s="25">
        <v>20</v>
      </c>
      <c r="I116" s="25" t="str">
        <f t="shared" si="10"/>
        <v>Sensitive</v>
      </c>
      <c r="J116" s="25">
        <v>20</v>
      </c>
      <c r="K116" s="25" t="str">
        <f t="shared" si="11"/>
        <v>Sensitive</v>
      </c>
      <c r="L116" s="25">
        <v>20</v>
      </c>
      <c r="M116" s="29" t="str">
        <f t="shared" si="12"/>
        <v>Resistant</v>
      </c>
      <c r="N116" s="25">
        <f t="shared" si="13"/>
        <v>2</v>
      </c>
      <c r="O116" s="25" t="str">
        <f t="shared" si="7"/>
        <v>Susceptible</v>
      </c>
    </row>
    <row r="117" spans="1:15">
      <c r="A117" s="20" t="s">
        <v>190</v>
      </c>
      <c r="B117" s="9" t="s">
        <v>64</v>
      </c>
      <c r="C117" s="21" t="s">
        <v>60</v>
      </c>
      <c r="D117" s="9">
        <v>25</v>
      </c>
      <c r="E117" s="17" t="str">
        <f t="shared" si="8"/>
        <v>Sensitive</v>
      </c>
      <c r="F117" s="9">
        <v>10</v>
      </c>
      <c r="G117" s="17" t="str">
        <f t="shared" si="9"/>
        <v>Resistant</v>
      </c>
      <c r="H117" s="9">
        <v>15</v>
      </c>
      <c r="I117" s="9" t="str">
        <f t="shared" si="10"/>
        <v>Sensitive</v>
      </c>
      <c r="J117" s="9">
        <v>0</v>
      </c>
      <c r="K117" s="9" t="str">
        <f t="shared" si="11"/>
        <v>Resistant</v>
      </c>
      <c r="L117" s="9">
        <v>20</v>
      </c>
      <c r="M117" s="28" t="str">
        <f t="shared" si="12"/>
        <v>Resistant</v>
      </c>
      <c r="N117" s="9">
        <f t="shared" si="13"/>
        <v>3</v>
      </c>
      <c r="O117" s="9" t="str">
        <f t="shared" si="7"/>
        <v>MDR</v>
      </c>
    </row>
    <row r="118" spans="1:15">
      <c r="A118" s="24" t="s">
        <v>191</v>
      </c>
      <c r="B118" s="25" t="s">
        <v>64</v>
      </c>
      <c r="C118" s="26" t="s">
        <v>60</v>
      </c>
      <c r="D118" s="25">
        <v>25</v>
      </c>
      <c r="E118" s="17" t="str">
        <f t="shared" si="8"/>
        <v>Sensitive</v>
      </c>
      <c r="F118" s="25">
        <v>10</v>
      </c>
      <c r="G118" s="17" t="str">
        <f t="shared" si="9"/>
        <v>Resistant</v>
      </c>
      <c r="H118" s="25">
        <v>20</v>
      </c>
      <c r="I118" s="25" t="str">
        <f t="shared" si="10"/>
        <v>Sensitive</v>
      </c>
      <c r="J118" s="25">
        <v>22</v>
      </c>
      <c r="K118" s="25" t="str">
        <f t="shared" si="11"/>
        <v>Sensitive</v>
      </c>
      <c r="L118" s="25">
        <v>25</v>
      </c>
      <c r="M118" s="29" t="str">
        <f t="shared" si="12"/>
        <v>Intermediate</v>
      </c>
      <c r="N118" s="25">
        <f t="shared" si="13"/>
        <v>1</v>
      </c>
      <c r="O118" s="25" t="str">
        <f t="shared" si="7"/>
        <v>Susceptible</v>
      </c>
    </row>
    <row r="119" spans="1:15">
      <c r="A119" s="20" t="s">
        <v>192</v>
      </c>
      <c r="B119" s="9" t="s">
        <v>64</v>
      </c>
      <c r="C119" s="21" t="s">
        <v>60</v>
      </c>
      <c r="D119" s="9">
        <v>30</v>
      </c>
      <c r="E119" s="17" t="str">
        <f t="shared" si="8"/>
        <v>Sensitive</v>
      </c>
      <c r="F119" s="9">
        <v>0</v>
      </c>
      <c r="G119" s="17" t="str">
        <f t="shared" si="9"/>
        <v>Resistant</v>
      </c>
      <c r="H119" s="9">
        <v>20</v>
      </c>
      <c r="I119" s="9" t="str">
        <f t="shared" si="10"/>
        <v>Sensitive</v>
      </c>
      <c r="J119" s="9">
        <v>0</v>
      </c>
      <c r="K119" s="9" t="str">
        <f t="shared" si="11"/>
        <v>Resistant</v>
      </c>
      <c r="L119" s="9">
        <v>22</v>
      </c>
      <c r="M119" s="28" t="str">
        <f t="shared" si="12"/>
        <v>Intermediate</v>
      </c>
      <c r="N119" s="9">
        <f t="shared" si="13"/>
        <v>2</v>
      </c>
      <c r="O119" s="9" t="str">
        <f t="shared" si="7"/>
        <v>Susceptible</v>
      </c>
    </row>
    <row r="120" spans="1:15">
      <c r="A120" s="24" t="s">
        <v>193</v>
      </c>
      <c r="B120" s="25" t="s">
        <v>64</v>
      </c>
      <c r="C120" s="26" t="s">
        <v>60</v>
      </c>
      <c r="D120" s="25">
        <v>30</v>
      </c>
      <c r="E120" s="17" t="str">
        <f t="shared" si="8"/>
        <v>Sensitive</v>
      </c>
      <c r="F120" s="25">
        <v>10</v>
      </c>
      <c r="G120" s="17" t="str">
        <f t="shared" si="9"/>
        <v>Resistant</v>
      </c>
      <c r="H120" s="25">
        <v>20</v>
      </c>
      <c r="I120" s="25" t="str">
        <f t="shared" si="10"/>
        <v>Sensitive</v>
      </c>
      <c r="J120" s="25">
        <v>0</v>
      </c>
      <c r="K120" s="25" t="str">
        <f t="shared" si="11"/>
        <v>Resistant</v>
      </c>
      <c r="L120" s="25">
        <v>25</v>
      </c>
      <c r="M120" s="29" t="str">
        <f t="shared" si="12"/>
        <v>Intermediate</v>
      </c>
      <c r="N120" s="25">
        <f t="shared" si="13"/>
        <v>2</v>
      </c>
      <c r="O120" s="25" t="str">
        <f t="shared" si="7"/>
        <v>Susceptible</v>
      </c>
    </row>
    <row r="121" spans="1:15">
      <c r="A121" s="20" t="s">
        <v>194</v>
      </c>
      <c r="B121" s="9" t="s">
        <v>64</v>
      </c>
      <c r="C121" s="9" t="s">
        <v>59</v>
      </c>
      <c r="D121" s="9">
        <v>25</v>
      </c>
      <c r="E121" s="17" t="str">
        <f t="shared" si="8"/>
        <v>Sensitive</v>
      </c>
      <c r="F121" s="9">
        <v>25</v>
      </c>
      <c r="G121" s="17" t="str">
        <f t="shared" si="9"/>
        <v>Sensitive</v>
      </c>
      <c r="H121" s="9">
        <v>18</v>
      </c>
      <c r="I121" s="9" t="str">
        <f t="shared" si="10"/>
        <v>Sensitive</v>
      </c>
      <c r="J121" s="9">
        <v>15</v>
      </c>
      <c r="K121" s="9" t="str">
        <f t="shared" si="11"/>
        <v>Intermediate</v>
      </c>
      <c r="L121" s="9">
        <v>21</v>
      </c>
      <c r="M121" s="28" t="str">
        <f t="shared" si="12"/>
        <v>Resistant</v>
      </c>
      <c r="N121" s="9">
        <f t="shared" si="13"/>
        <v>1</v>
      </c>
      <c r="O121" s="9" t="str">
        <f t="shared" si="7"/>
        <v>Susceptible</v>
      </c>
    </row>
    <row r="122" spans="1:15">
      <c r="A122" s="24" t="s">
        <v>195</v>
      </c>
      <c r="B122" s="25" t="s">
        <v>64</v>
      </c>
      <c r="C122" s="25" t="s">
        <v>59</v>
      </c>
      <c r="D122" s="25">
        <v>25</v>
      </c>
      <c r="E122" s="17" t="str">
        <f t="shared" si="8"/>
        <v>Sensitive</v>
      </c>
      <c r="F122" s="25">
        <v>0</v>
      </c>
      <c r="G122" s="17" t="str">
        <f t="shared" si="9"/>
        <v>Resistant</v>
      </c>
      <c r="H122" s="25">
        <v>20</v>
      </c>
      <c r="I122" s="25" t="str">
        <f t="shared" si="10"/>
        <v>Sensitive</v>
      </c>
      <c r="J122" s="25">
        <v>7</v>
      </c>
      <c r="K122" s="25" t="str">
        <f t="shared" si="11"/>
        <v>Resistant</v>
      </c>
      <c r="L122" s="25">
        <v>20</v>
      </c>
      <c r="M122" s="29" t="str">
        <f t="shared" si="12"/>
        <v>Resistant</v>
      </c>
      <c r="N122" s="25">
        <f t="shared" si="13"/>
        <v>3</v>
      </c>
      <c r="O122" s="25" t="str">
        <f t="shared" si="7"/>
        <v>MDR</v>
      </c>
    </row>
    <row r="123" spans="1:15">
      <c r="A123" s="20" t="s">
        <v>196</v>
      </c>
      <c r="B123" s="9" t="s">
        <v>64</v>
      </c>
      <c r="C123" s="9" t="s">
        <v>59</v>
      </c>
      <c r="D123" s="9">
        <v>7</v>
      </c>
      <c r="E123" s="17" t="str">
        <f t="shared" si="8"/>
        <v>Resistant</v>
      </c>
      <c r="F123" s="9">
        <v>15</v>
      </c>
      <c r="G123" s="17" t="str">
        <f t="shared" si="9"/>
        <v>Resistant</v>
      </c>
      <c r="H123" s="9">
        <v>20</v>
      </c>
      <c r="I123" s="9" t="str">
        <f t="shared" si="10"/>
        <v>Sensitive</v>
      </c>
      <c r="J123" s="9">
        <v>7</v>
      </c>
      <c r="K123" s="9" t="str">
        <f t="shared" si="11"/>
        <v>Resistant</v>
      </c>
      <c r="L123" s="9">
        <v>20</v>
      </c>
      <c r="M123" s="28" t="str">
        <f t="shared" si="12"/>
        <v>Resistant</v>
      </c>
      <c r="N123" s="9">
        <f t="shared" si="13"/>
        <v>4</v>
      </c>
      <c r="O123" s="9" t="str">
        <f t="shared" si="7"/>
        <v>XDR</v>
      </c>
    </row>
    <row r="124" spans="1:15">
      <c r="A124" s="24" t="s">
        <v>197</v>
      </c>
      <c r="B124" s="25" t="s">
        <v>64</v>
      </c>
      <c r="C124" s="25" t="s">
        <v>59</v>
      </c>
      <c r="D124" s="25">
        <v>24</v>
      </c>
      <c r="E124" s="17" t="str">
        <f t="shared" si="8"/>
        <v>Sensitive</v>
      </c>
      <c r="F124" s="25">
        <v>10</v>
      </c>
      <c r="G124" s="17" t="str">
        <f t="shared" si="9"/>
        <v>Resistant</v>
      </c>
      <c r="H124" s="25">
        <v>18</v>
      </c>
      <c r="I124" s="25" t="str">
        <f t="shared" si="10"/>
        <v>Sensitive</v>
      </c>
      <c r="J124" s="25">
        <v>10</v>
      </c>
      <c r="K124" s="25" t="str">
        <f t="shared" si="11"/>
        <v>Resistant</v>
      </c>
      <c r="L124" s="25">
        <v>23</v>
      </c>
      <c r="M124" s="29" t="str">
        <f t="shared" si="12"/>
        <v>Intermediate</v>
      </c>
      <c r="N124" s="25">
        <f t="shared" si="13"/>
        <v>2</v>
      </c>
      <c r="O124" s="25" t="str">
        <f t="shared" si="7"/>
        <v>Susceptible</v>
      </c>
    </row>
    <row r="125" spans="1:15">
      <c r="A125" s="20" t="s">
        <v>198</v>
      </c>
      <c r="B125" s="9" t="s">
        <v>64</v>
      </c>
      <c r="C125" s="9" t="s">
        <v>59</v>
      </c>
      <c r="D125" s="9">
        <v>26</v>
      </c>
      <c r="E125" s="17" t="str">
        <f t="shared" si="8"/>
        <v>Sensitive</v>
      </c>
      <c r="F125" s="9">
        <v>20</v>
      </c>
      <c r="G125" s="17" t="str">
        <f t="shared" si="9"/>
        <v>Intermediate</v>
      </c>
      <c r="H125" s="9">
        <v>20</v>
      </c>
      <c r="I125" s="9" t="str">
        <f t="shared" si="10"/>
        <v>Sensitive</v>
      </c>
      <c r="J125" s="9">
        <v>17</v>
      </c>
      <c r="K125" s="9" t="str">
        <f t="shared" si="11"/>
        <v>Intermediate</v>
      </c>
      <c r="L125" s="9">
        <v>25</v>
      </c>
      <c r="M125" s="28" t="str">
        <f t="shared" si="12"/>
        <v>Intermediate</v>
      </c>
      <c r="N125" s="9">
        <f t="shared" si="13"/>
        <v>0</v>
      </c>
      <c r="O125" s="9" t="str">
        <f t="shared" si="7"/>
        <v>Susceptible</v>
      </c>
    </row>
    <row r="126" spans="1:15">
      <c r="A126" s="24" t="s">
        <v>199</v>
      </c>
      <c r="B126" s="25" t="s">
        <v>64</v>
      </c>
      <c r="C126" s="25" t="s">
        <v>59</v>
      </c>
      <c r="D126" s="25">
        <v>25</v>
      </c>
      <c r="E126" s="17" t="str">
        <f t="shared" si="8"/>
        <v>Sensitive</v>
      </c>
      <c r="F126" s="25">
        <v>25</v>
      </c>
      <c r="G126" s="17" t="str">
        <f t="shared" si="9"/>
        <v>Sensitive</v>
      </c>
      <c r="H126" s="25">
        <v>20</v>
      </c>
      <c r="I126" s="25" t="str">
        <f t="shared" si="10"/>
        <v>Sensitive</v>
      </c>
      <c r="J126" s="25">
        <v>20</v>
      </c>
      <c r="K126" s="25" t="str">
        <f t="shared" si="11"/>
        <v>Sensitive</v>
      </c>
      <c r="L126" s="25">
        <v>30</v>
      </c>
      <c r="M126" s="29" t="str">
        <f t="shared" si="12"/>
        <v>Sensitive</v>
      </c>
      <c r="N126" s="25">
        <f t="shared" si="13"/>
        <v>0</v>
      </c>
      <c r="O126" s="25" t="str">
        <f t="shared" si="7"/>
        <v>Susceptible</v>
      </c>
    </row>
    <row r="127" spans="1:15">
      <c r="A127" s="20" t="s">
        <v>200</v>
      </c>
      <c r="B127" s="9" t="s">
        <v>64</v>
      </c>
      <c r="C127" s="9" t="s">
        <v>59</v>
      </c>
      <c r="D127" s="9">
        <v>29</v>
      </c>
      <c r="E127" s="17" t="str">
        <f t="shared" si="8"/>
        <v>Sensitive</v>
      </c>
      <c r="F127" s="9">
        <v>24</v>
      </c>
      <c r="G127" s="17" t="str">
        <f t="shared" si="9"/>
        <v>Sensitive</v>
      </c>
      <c r="H127" s="9">
        <v>20</v>
      </c>
      <c r="I127" s="9" t="str">
        <f t="shared" si="10"/>
        <v>Sensitive</v>
      </c>
      <c r="J127" s="9">
        <v>10</v>
      </c>
      <c r="K127" s="9" t="str">
        <f t="shared" si="11"/>
        <v>Resistant</v>
      </c>
      <c r="L127" s="9">
        <v>0</v>
      </c>
      <c r="M127" s="28" t="str">
        <f t="shared" si="12"/>
        <v>Resistant</v>
      </c>
      <c r="N127" s="9">
        <f t="shared" si="13"/>
        <v>2</v>
      </c>
      <c r="O127" s="9" t="str">
        <f t="shared" si="7"/>
        <v>Susceptible</v>
      </c>
    </row>
    <row r="128" spans="1:15">
      <c r="A128" s="24" t="s">
        <v>201</v>
      </c>
      <c r="B128" s="25" t="s">
        <v>64</v>
      </c>
      <c r="C128" s="25" t="s">
        <v>59</v>
      </c>
      <c r="D128" s="25">
        <v>39</v>
      </c>
      <c r="E128" s="17" t="str">
        <f t="shared" si="8"/>
        <v>Sensitive</v>
      </c>
      <c r="F128" s="25">
        <v>0</v>
      </c>
      <c r="G128" s="17" t="str">
        <f t="shared" si="9"/>
        <v>Resistant</v>
      </c>
      <c r="H128" s="25">
        <v>24</v>
      </c>
      <c r="I128" s="25" t="str">
        <f t="shared" si="10"/>
        <v>Sensitive</v>
      </c>
      <c r="J128" s="25">
        <v>18</v>
      </c>
      <c r="K128" s="25" t="str">
        <f t="shared" si="11"/>
        <v>Sensitive</v>
      </c>
      <c r="L128" s="25">
        <v>25</v>
      </c>
      <c r="M128" s="29" t="str">
        <f t="shared" si="12"/>
        <v>Intermediate</v>
      </c>
      <c r="N128" s="25">
        <f t="shared" si="13"/>
        <v>1</v>
      </c>
      <c r="O128" s="25" t="str">
        <f t="shared" si="7"/>
        <v>Susceptible</v>
      </c>
    </row>
    <row r="129" spans="1:15">
      <c r="A129" s="20" t="s">
        <v>202</v>
      </c>
      <c r="B129" s="9" t="s">
        <v>64</v>
      </c>
      <c r="C129" s="9" t="s">
        <v>59</v>
      </c>
      <c r="D129" s="9">
        <v>37</v>
      </c>
      <c r="E129" s="17" t="str">
        <f t="shared" si="8"/>
        <v>Sensitive</v>
      </c>
      <c r="F129" s="9">
        <v>10</v>
      </c>
      <c r="G129" s="17" t="str">
        <f t="shared" si="9"/>
        <v>Resistant</v>
      </c>
      <c r="H129" s="9">
        <v>15</v>
      </c>
      <c r="I129" s="9" t="str">
        <f t="shared" si="10"/>
        <v>Sensitive</v>
      </c>
      <c r="J129" s="9">
        <v>17</v>
      </c>
      <c r="K129" s="9" t="str">
        <f t="shared" si="11"/>
        <v>Intermediate</v>
      </c>
      <c r="L129" s="9">
        <v>25</v>
      </c>
      <c r="M129" s="28" t="str">
        <f t="shared" si="12"/>
        <v>Intermediate</v>
      </c>
      <c r="N129" s="9">
        <f t="shared" si="13"/>
        <v>1</v>
      </c>
      <c r="O129" s="9" t="str">
        <f t="shared" si="7"/>
        <v>Susceptible</v>
      </c>
    </row>
    <row r="130" spans="1:15">
      <c r="A130" s="24" t="s">
        <v>203</v>
      </c>
      <c r="B130" s="25" t="s">
        <v>64</v>
      </c>
      <c r="C130" s="25" t="s">
        <v>59</v>
      </c>
      <c r="D130" s="25">
        <v>35</v>
      </c>
      <c r="E130" s="17" t="str">
        <f t="shared" si="8"/>
        <v>Sensitive</v>
      </c>
      <c r="F130" s="25">
        <v>0</v>
      </c>
      <c r="G130" s="17" t="str">
        <f t="shared" si="9"/>
        <v>Resistant</v>
      </c>
      <c r="H130" s="25">
        <v>25</v>
      </c>
      <c r="I130" s="25" t="str">
        <f t="shared" si="10"/>
        <v>Sensitive</v>
      </c>
      <c r="J130" s="25">
        <v>30</v>
      </c>
      <c r="K130" s="25" t="str">
        <f t="shared" si="11"/>
        <v>Sensitive</v>
      </c>
      <c r="L130" s="25">
        <v>30</v>
      </c>
      <c r="M130" s="29" t="str">
        <f t="shared" si="12"/>
        <v>Sensitive</v>
      </c>
      <c r="N130" s="25">
        <f t="shared" si="13"/>
        <v>1</v>
      </c>
      <c r="O130" s="25" t="str">
        <f t="shared" ref="O130:O193" si="14">_xlfn.IFS(N130&lt;=2, "Susceptible",N130=3,"MDR",N130=4, "XDR",N130=5, "XDR*")</f>
        <v>Susceptible</v>
      </c>
    </row>
    <row r="131" spans="1:15">
      <c r="A131" s="20" t="s">
        <v>204</v>
      </c>
      <c r="B131" s="9" t="s">
        <v>64</v>
      </c>
      <c r="C131" s="9" t="s">
        <v>59</v>
      </c>
      <c r="D131" s="9">
        <v>36</v>
      </c>
      <c r="E131" s="17" t="str">
        <f t="shared" ref="E131:E194" si="15">_xlfn.IFS(D131&lt;=19, "Resistant", D131&lt;=22, "Intermediate", D131&gt;=23, "Sensitive")</f>
        <v>Sensitive</v>
      </c>
      <c r="F131" s="9">
        <v>10</v>
      </c>
      <c r="G131" s="17" t="str">
        <f t="shared" ref="G131:G194" si="16">_xlfn.IFS(F131&lt;=17, "Resistant", F131&lt;=20, "Intermediate", F131&gt;=21, "Sensitive")</f>
        <v>Resistant</v>
      </c>
      <c r="H131" s="9">
        <v>16</v>
      </c>
      <c r="I131" s="9" t="str">
        <f t="shared" ref="I131:I194" si="17">_xlfn.IFS(H131&lt;=12, "Resistant", H131&lt;=14, "Intermediate", H131&gt;=15, "Sensitive")</f>
        <v>Sensitive</v>
      </c>
      <c r="J131" s="9">
        <v>20</v>
      </c>
      <c r="K131" s="9" t="str">
        <f t="shared" ref="K131:K194" si="18">_xlfn.IFS(J131&lt;=13, "Resistant", J131&lt;=17, "Intermediate", J131&gt;=18, "Sensitive")</f>
        <v>Sensitive</v>
      </c>
      <c r="L131" s="9">
        <v>20</v>
      </c>
      <c r="M131" s="28" t="str">
        <f t="shared" ref="M131:M194" si="19">_xlfn.IFS(L131&lt;=21, "Resistant", L131&lt;=25, "Intermediate", L131&gt;=26, "Sensitive")</f>
        <v>Resistant</v>
      </c>
      <c r="N131" s="9">
        <f t="shared" ref="N131:N194" si="20">COUNTIF(E131:M131,"Resistant")</f>
        <v>2</v>
      </c>
      <c r="O131" s="9" t="str">
        <f t="shared" si="14"/>
        <v>Susceptible</v>
      </c>
    </row>
    <row r="132" spans="1:15">
      <c r="A132" s="24" t="s">
        <v>205</v>
      </c>
      <c r="B132" s="25" t="s">
        <v>64</v>
      </c>
      <c r="C132" s="25" t="s">
        <v>59</v>
      </c>
      <c r="D132" s="25">
        <v>39</v>
      </c>
      <c r="E132" s="17" t="str">
        <f t="shared" si="15"/>
        <v>Sensitive</v>
      </c>
      <c r="F132" s="25">
        <v>5</v>
      </c>
      <c r="G132" s="17" t="str">
        <f t="shared" si="16"/>
        <v>Resistant</v>
      </c>
      <c r="H132" s="25">
        <v>25</v>
      </c>
      <c r="I132" s="25" t="str">
        <f t="shared" si="17"/>
        <v>Sensitive</v>
      </c>
      <c r="J132" s="25">
        <v>17</v>
      </c>
      <c r="K132" s="25" t="str">
        <f t="shared" si="18"/>
        <v>Intermediate</v>
      </c>
      <c r="L132" s="25">
        <v>25</v>
      </c>
      <c r="M132" s="29" t="str">
        <f t="shared" si="19"/>
        <v>Intermediate</v>
      </c>
      <c r="N132" s="25">
        <f t="shared" si="20"/>
        <v>1</v>
      </c>
      <c r="O132" s="25" t="str">
        <f t="shared" si="14"/>
        <v>Susceptible</v>
      </c>
    </row>
    <row r="133" spans="1:15">
      <c r="A133" s="20" t="s">
        <v>206</v>
      </c>
      <c r="B133" s="9" t="s">
        <v>64</v>
      </c>
      <c r="C133" s="9" t="s">
        <v>59</v>
      </c>
      <c r="D133" s="9">
        <v>32</v>
      </c>
      <c r="E133" s="17" t="str">
        <f t="shared" si="15"/>
        <v>Sensitive</v>
      </c>
      <c r="F133" s="9">
        <v>0</v>
      </c>
      <c r="G133" s="17" t="str">
        <f t="shared" si="16"/>
        <v>Resistant</v>
      </c>
      <c r="H133" s="9">
        <v>20</v>
      </c>
      <c r="I133" s="9" t="str">
        <f t="shared" si="17"/>
        <v>Sensitive</v>
      </c>
      <c r="J133" s="9">
        <v>15</v>
      </c>
      <c r="K133" s="9" t="str">
        <f t="shared" si="18"/>
        <v>Intermediate</v>
      </c>
      <c r="L133" s="9">
        <v>20</v>
      </c>
      <c r="M133" s="28" t="str">
        <f t="shared" si="19"/>
        <v>Resistant</v>
      </c>
      <c r="N133" s="9">
        <f t="shared" si="20"/>
        <v>2</v>
      </c>
      <c r="O133" s="9" t="str">
        <f t="shared" si="14"/>
        <v>Susceptible</v>
      </c>
    </row>
    <row r="134" spans="1:15">
      <c r="A134" s="24" t="s">
        <v>207</v>
      </c>
      <c r="B134" s="25" t="s">
        <v>64</v>
      </c>
      <c r="C134" s="25" t="s">
        <v>59</v>
      </c>
      <c r="D134" s="25">
        <v>25</v>
      </c>
      <c r="E134" s="17" t="str">
        <f t="shared" si="15"/>
        <v>Sensitive</v>
      </c>
      <c r="F134" s="25">
        <v>10</v>
      </c>
      <c r="G134" s="17" t="str">
        <f t="shared" si="16"/>
        <v>Resistant</v>
      </c>
      <c r="H134" s="25">
        <v>20</v>
      </c>
      <c r="I134" s="25" t="str">
        <f t="shared" si="17"/>
        <v>Sensitive</v>
      </c>
      <c r="J134" s="25">
        <v>17</v>
      </c>
      <c r="K134" s="25" t="str">
        <f t="shared" si="18"/>
        <v>Intermediate</v>
      </c>
      <c r="L134" s="25">
        <v>17</v>
      </c>
      <c r="M134" s="29" t="str">
        <f t="shared" si="19"/>
        <v>Resistant</v>
      </c>
      <c r="N134" s="25">
        <f t="shared" si="20"/>
        <v>2</v>
      </c>
      <c r="O134" s="25" t="str">
        <f t="shared" si="14"/>
        <v>Susceptible</v>
      </c>
    </row>
    <row r="135" spans="1:15">
      <c r="A135" s="20" t="s">
        <v>208</v>
      </c>
      <c r="B135" s="9" t="s">
        <v>64</v>
      </c>
      <c r="C135" s="9" t="s">
        <v>59</v>
      </c>
      <c r="D135" s="9">
        <v>30</v>
      </c>
      <c r="E135" s="17" t="str">
        <f t="shared" si="15"/>
        <v>Sensitive</v>
      </c>
      <c r="F135" s="9">
        <v>10</v>
      </c>
      <c r="G135" s="17" t="str">
        <f t="shared" si="16"/>
        <v>Resistant</v>
      </c>
      <c r="H135" s="9">
        <v>25</v>
      </c>
      <c r="I135" s="9" t="str">
        <f t="shared" si="17"/>
        <v>Sensitive</v>
      </c>
      <c r="J135" s="9">
        <v>15</v>
      </c>
      <c r="K135" s="9" t="str">
        <f t="shared" si="18"/>
        <v>Intermediate</v>
      </c>
      <c r="L135" s="9">
        <v>25</v>
      </c>
      <c r="M135" s="28" t="str">
        <f t="shared" si="19"/>
        <v>Intermediate</v>
      </c>
      <c r="N135" s="9">
        <f t="shared" si="20"/>
        <v>1</v>
      </c>
      <c r="O135" s="9" t="str">
        <f t="shared" si="14"/>
        <v>Susceptible</v>
      </c>
    </row>
    <row r="136" spans="1:15">
      <c r="A136" s="24" t="s">
        <v>209</v>
      </c>
      <c r="B136" s="25" t="s">
        <v>64</v>
      </c>
      <c r="C136" s="25" t="s">
        <v>59</v>
      </c>
      <c r="D136" s="25">
        <v>30</v>
      </c>
      <c r="E136" s="17" t="str">
        <f t="shared" si="15"/>
        <v>Sensitive</v>
      </c>
      <c r="F136" s="25">
        <v>10</v>
      </c>
      <c r="G136" s="17" t="str">
        <f t="shared" si="16"/>
        <v>Resistant</v>
      </c>
      <c r="H136" s="25">
        <v>25</v>
      </c>
      <c r="I136" s="25" t="str">
        <f t="shared" si="17"/>
        <v>Sensitive</v>
      </c>
      <c r="J136" s="25">
        <v>25</v>
      </c>
      <c r="K136" s="25" t="str">
        <f t="shared" si="18"/>
        <v>Sensitive</v>
      </c>
      <c r="L136" s="25">
        <v>20</v>
      </c>
      <c r="M136" s="29" t="str">
        <f t="shared" si="19"/>
        <v>Resistant</v>
      </c>
      <c r="N136" s="25">
        <f t="shared" si="20"/>
        <v>2</v>
      </c>
      <c r="O136" s="25" t="str">
        <f t="shared" si="14"/>
        <v>Susceptible</v>
      </c>
    </row>
    <row r="137" spans="1:15">
      <c r="A137" s="20" t="s">
        <v>210</v>
      </c>
      <c r="B137" s="9" t="s">
        <v>64</v>
      </c>
      <c r="C137" s="9" t="s">
        <v>59</v>
      </c>
      <c r="D137" s="9">
        <v>30</v>
      </c>
      <c r="E137" s="17" t="str">
        <f t="shared" si="15"/>
        <v>Sensitive</v>
      </c>
      <c r="F137" s="9">
        <v>0</v>
      </c>
      <c r="G137" s="17" t="str">
        <f t="shared" si="16"/>
        <v>Resistant</v>
      </c>
      <c r="H137" s="9">
        <v>25</v>
      </c>
      <c r="I137" s="9" t="str">
        <f t="shared" si="17"/>
        <v>Sensitive</v>
      </c>
      <c r="J137" s="9">
        <v>30</v>
      </c>
      <c r="K137" s="9" t="str">
        <f t="shared" si="18"/>
        <v>Sensitive</v>
      </c>
      <c r="L137" s="9">
        <v>30</v>
      </c>
      <c r="M137" s="28" t="str">
        <f t="shared" si="19"/>
        <v>Sensitive</v>
      </c>
      <c r="N137" s="9">
        <f t="shared" si="20"/>
        <v>1</v>
      </c>
      <c r="O137" s="9" t="str">
        <f t="shared" si="14"/>
        <v>Susceptible</v>
      </c>
    </row>
    <row r="138" spans="1:15">
      <c r="A138" s="24" t="s">
        <v>211</v>
      </c>
      <c r="B138" s="25" t="s">
        <v>64</v>
      </c>
      <c r="C138" s="25" t="s">
        <v>59</v>
      </c>
      <c r="D138" s="25">
        <v>25</v>
      </c>
      <c r="E138" s="17" t="str">
        <f t="shared" si="15"/>
        <v>Sensitive</v>
      </c>
      <c r="F138" s="25">
        <v>10</v>
      </c>
      <c r="G138" s="17" t="str">
        <f t="shared" si="16"/>
        <v>Resistant</v>
      </c>
      <c r="H138" s="25">
        <v>15</v>
      </c>
      <c r="I138" s="25" t="str">
        <f t="shared" si="17"/>
        <v>Sensitive</v>
      </c>
      <c r="J138" s="25">
        <v>15</v>
      </c>
      <c r="K138" s="25" t="str">
        <f t="shared" si="18"/>
        <v>Intermediate</v>
      </c>
      <c r="L138" s="25">
        <v>20</v>
      </c>
      <c r="M138" s="29" t="str">
        <f t="shared" si="19"/>
        <v>Resistant</v>
      </c>
      <c r="N138" s="25">
        <f t="shared" si="20"/>
        <v>2</v>
      </c>
      <c r="O138" s="25" t="str">
        <f t="shared" si="14"/>
        <v>Susceptible</v>
      </c>
    </row>
    <row r="139" spans="1:15">
      <c r="A139" s="20" t="s">
        <v>212</v>
      </c>
      <c r="B139" s="9" t="s">
        <v>64</v>
      </c>
      <c r="C139" s="9" t="s">
        <v>59</v>
      </c>
      <c r="D139" s="9">
        <v>30</v>
      </c>
      <c r="E139" s="17" t="str">
        <f t="shared" si="15"/>
        <v>Sensitive</v>
      </c>
      <c r="F139" s="9">
        <v>0</v>
      </c>
      <c r="G139" s="17" t="str">
        <f t="shared" si="16"/>
        <v>Resistant</v>
      </c>
      <c r="H139" s="9">
        <v>20</v>
      </c>
      <c r="I139" s="9" t="str">
        <f t="shared" si="17"/>
        <v>Sensitive</v>
      </c>
      <c r="J139" s="9">
        <v>12</v>
      </c>
      <c r="K139" s="9" t="str">
        <f t="shared" si="18"/>
        <v>Resistant</v>
      </c>
      <c r="L139" s="9">
        <v>20</v>
      </c>
      <c r="M139" s="28" t="str">
        <f t="shared" si="19"/>
        <v>Resistant</v>
      </c>
      <c r="N139" s="9">
        <f t="shared" si="20"/>
        <v>3</v>
      </c>
      <c r="O139" s="9" t="str">
        <f t="shared" si="14"/>
        <v>MDR</v>
      </c>
    </row>
    <row r="140" spans="1:15">
      <c r="A140" s="24" t="s">
        <v>213</v>
      </c>
      <c r="B140" s="25" t="s">
        <v>64</v>
      </c>
      <c r="C140" s="25" t="s">
        <v>59</v>
      </c>
      <c r="D140" s="25">
        <v>35</v>
      </c>
      <c r="E140" s="17" t="str">
        <f t="shared" si="15"/>
        <v>Sensitive</v>
      </c>
      <c r="F140" s="25">
        <v>7</v>
      </c>
      <c r="G140" s="17" t="str">
        <f t="shared" si="16"/>
        <v>Resistant</v>
      </c>
      <c r="H140" s="25">
        <v>20</v>
      </c>
      <c r="I140" s="25" t="str">
        <f t="shared" si="17"/>
        <v>Sensitive</v>
      </c>
      <c r="J140" s="25">
        <v>20</v>
      </c>
      <c r="K140" s="25" t="str">
        <f t="shared" si="18"/>
        <v>Sensitive</v>
      </c>
      <c r="L140" s="25">
        <v>23</v>
      </c>
      <c r="M140" s="29" t="str">
        <f t="shared" si="19"/>
        <v>Intermediate</v>
      </c>
      <c r="N140" s="25">
        <f t="shared" si="20"/>
        <v>1</v>
      </c>
      <c r="O140" s="25" t="str">
        <f t="shared" si="14"/>
        <v>Susceptible</v>
      </c>
    </row>
    <row r="141" spans="1:15">
      <c r="A141" s="20" t="s">
        <v>214</v>
      </c>
      <c r="B141" s="9" t="s">
        <v>64</v>
      </c>
      <c r="C141" s="9" t="s">
        <v>59</v>
      </c>
      <c r="D141" s="9">
        <v>25</v>
      </c>
      <c r="E141" s="17" t="str">
        <f t="shared" si="15"/>
        <v>Sensitive</v>
      </c>
      <c r="F141" s="9">
        <v>0</v>
      </c>
      <c r="G141" s="17" t="str">
        <f t="shared" si="16"/>
        <v>Resistant</v>
      </c>
      <c r="H141" s="9">
        <v>18</v>
      </c>
      <c r="I141" s="9" t="str">
        <f t="shared" si="17"/>
        <v>Sensitive</v>
      </c>
      <c r="J141" s="9">
        <v>10</v>
      </c>
      <c r="K141" s="9" t="str">
        <f t="shared" si="18"/>
        <v>Resistant</v>
      </c>
      <c r="L141" s="9">
        <v>20</v>
      </c>
      <c r="M141" s="28" t="str">
        <f t="shared" si="19"/>
        <v>Resistant</v>
      </c>
      <c r="N141" s="9">
        <f t="shared" si="20"/>
        <v>3</v>
      </c>
      <c r="O141" s="9" t="str">
        <f t="shared" si="14"/>
        <v>MDR</v>
      </c>
    </row>
    <row r="142" spans="1:15">
      <c r="A142" s="24" t="s">
        <v>215</v>
      </c>
      <c r="B142" s="25" t="s">
        <v>64</v>
      </c>
      <c r="C142" s="25" t="s">
        <v>59</v>
      </c>
      <c r="D142" s="25">
        <v>32</v>
      </c>
      <c r="E142" s="17" t="str">
        <f t="shared" si="15"/>
        <v>Sensitive</v>
      </c>
      <c r="F142" s="25">
        <v>10</v>
      </c>
      <c r="G142" s="17" t="str">
        <f t="shared" si="16"/>
        <v>Resistant</v>
      </c>
      <c r="H142" s="25">
        <v>21</v>
      </c>
      <c r="I142" s="25" t="str">
        <f t="shared" si="17"/>
        <v>Sensitive</v>
      </c>
      <c r="J142" s="25">
        <v>7</v>
      </c>
      <c r="K142" s="25" t="str">
        <f t="shared" si="18"/>
        <v>Resistant</v>
      </c>
      <c r="L142" s="25">
        <v>20</v>
      </c>
      <c r="M142" s="29" t="str">
        <f t="shared" si="19"/>
        <v>Resistant</v>
      </c>
      <c r="N142" s="25">
        <f t="shared" si="20"/>
        <v>3</v>
      </c>
      <c r="O142" s="25" t="str">
        <f t="shared" si="14"/>
        <v>MDR</v>
      </c>
    </row>
    <row r="143" spans="1:15">
      <c r="A143" s="20" t="s">
        <v>216</v>
      </c>
      <c r="B143" s="9" t="s">
        <v>64</v>
      </c>
      <c r="C143" s="9" t="s">
        <v>59</v>
      </c>
      <c r="D143" s="9">
        <v>30</v>
      </c>
      <c r="E143" s="17" t="str">
        <f t="shared" si="15"/>
        <v>Sensitive</v>
      </c>
      <c r="F143" s="9">
        <v>12</v>
      </c>
      <c r="G143" s="17" t="str">
        <f t="shared" si="16"/>
        <v>Resistant</v>
      </c>
      <c r="H143" s="9">
        <v>17</v>
      </c>
      <c r="I143" s="9" t="str">
        <f t="shared" si="17"/>
        <v>Sensitive</v>
      </c>
      <c r="J143" s="9">
        <v>25</v>
      </c>
      <c r="K143" s="9" t="str">
        <f t="shared" si="18"/>
        <v>Sensitive</v>
      </c>
      <c r="L143" s="9">
        <v>15</v>
      </c>
      <c r="M143" s="28" t="str">
        <f t="shared" si="19"/>
        <v>Resistant</v>
      </c>
      <c r="N143" s="9">
        <f t="shared" si="20"/>
        <v>2</v>
      </c>
      <c r="O143" s="9" t="str">
        <f t="shared" si="14"/>
        <v>Susceptible</v>
      </c>
    </row>
    <row r="144" spans="1:15">
      <c r="A144" s="24" t="s">
        <v>217</v>
      </c>
      <c r="B144" s="25" t="s">
        <v>63</v>
      </c>
      <c r="C144" s="25" t="s">
        <v>58</v>
      </c>
      <c r="D144" s="25">
        <v>19</v>
      </c>
      <c r="E144" s="17" t="str">
        <f t="shared" si="15"/>
        <v>Resistant</v>
      </c>
      <c r="F144" s="25">
        <v>23</v>
      </c>
      <c r="G144" s="17" t="str">
        <f t="shared" si="16"/>
        <v>Sensitive</v>
      </c>
      <c r="H144" s="25">
        <v>16</v>
      </c>
      <c r="I144" s="25" t="str">
        <f t="shared" si="17"/>
        <v>Sensitive</v>
      </c>
      <c r="J144" s="25">
        <v>8</v>
      </c>
      <c r="K144" s="25" t="str">
        <f t="shared" si="18"/>
        <v>Resistant</v>
      </c>
      <c r="L144" s="25">
        <v>11</v>
      </c>
      <c r="M144" s="29" t="str">
        <f t="shared" si="19"/>
        <v>Resistant</v>
      </c>
      <c r="N144" s="25">
        <f t="shared" si="20"/>
        <v>3</v>
      </c>
      <c r="O144" s="25" t="str">
        <f t="shared" si="14"/>
        <v>MDR</v>
      </c>
    </row>
    <row r="145" spans="1:15">
      <c r="A145" s="20" t="s">
        <v>218</v>
      </c>
      <c r="B145" s="9" t="s">
        <v>63</v>
      </c>
      <c r="C145" s="9" t="s">
        <v>58</v>
      </c>
      <c r="D145" s="9">
        <v>20</v>
      </c>
      <c r="E145" s="17" t="str">
        <f t="shared" si="15"/>
        <v>Intermediate</v>
      </c>
      <c r="F145" s="9">
        <v>8</v>
      </c>
      <c r="G145" s="17" t="str">
        <f t="shared" si="16"/>
        <v>Resistant</v>
      </c>
      <c r="H145" s="9">
        <v>14</v>
      </c>
      <c r="I145" s="9" t="str">
        <f t="shared" si="17"/>
        <v>Intermediate</v>
      </c>
      <c r="J145" s="9">
        <v>19</v>
      </c>
      <c r="K145" s="9" t="str">
        <f t="shared" si="18"/>
        <v>Sensitive</v>
      </c>
      <c r="L145" s="9">
        <v>22</v>
      </c>
      <c r="M145" s="28" t="str">
        <f t="shared" si="19"/>
        <v>Intermediate</v>
      </c>
      <c r="N145" s="9">
        <f t="shared" si="20"/>
        <v>1</v>
      </c>
      <c r="O145" s="9" t="str">
        <f t="shared" si="14"/>
        <v>Susceptible</v>
      </c>
    </row>
    <row r="146" spans="1:15">
      <c r="A146" s="24" t="s">
        <v>219</v>
      </c>
      <c r="B146" s="25" t="s">
        <v>63</v>
      </c>
      <c r="C146" s="25" t="s">
        <v>58</v>
      </c>
      <c r="D146" s="25">
        <v>20</v>
      </c>
      <c r="E146" s="17" t="str">
        <f t="shared" si="15"/>
        <v>Intermediate</v>
      </c>
      <c r="F146" s="25">
        <v>0</v>
      </c>
      <c r="G146" s="17" t="str">
        <f t="shared" si="16"/>
        <v>Resistant</v>
      </c>
      <c r="H146" s="25">
        <v>10</v>
      </c>
      <c r="I146" s="25" t="str">
        <f t="shared" si="17"/>
        <v>Resistant</v>
      </c>
      <c r="J146" s="25">
        <v>0</v>
      </c>
      <c r="K146" s="25" t="str">
        <f t="shared" si="18"/>
        <v>Resistant</v>
      </c>
      <c r="L146" s="25">
        <v>17</v>
      </c>
      <c r="M146" s="29" t="str">
        <f t="shared" si="19"/>
        <v>Resistant</v>
      </c>
      <c r="N146" s="25">
        <f t="shared" si="20"/>
        <v>4</v>
      </c>
      <c r="O146" s="25" t="str">
        <f t="shared" si="14"/>
        <v>XDR</v>
      </c>
    </row>
    <row r="147" spans="1:15">
      <c r="A147" s="20" t="s">
        <v>220</v>
      </c>
      <c r="B147" s="9" t="s">
        <v>63</v>
      </c>
      <c r="C147" s="9" t="s">
        <v>58</v>
      </c>
      <c r="D147" s="9">
        <v>18</v>
      </c>
      <c r="E147" s="17" t="str">
        <f t="shared" si="15"/>
        <v>Resistant</v>
      </c>
      <c r="F147" s="9">
        <v>15</v>
      </c>
      <c r="G147" s="17" t="str">
        <f t="shared" si="16"/>
        <v>Resistant</v>
      </c>
      <c r="H147" s="9">
        <v>15</v>
      </c>
      <c r="I147" s="9" t="str">
        <f t="shared" si="17"/>
        <v>Sensitive</v>
      </c>
      <c r="J147" s="9">
        <v>10</v>
      </c>
      <c r="K147" s="9" t="str">
        <f t="shared" si="18"/>
        <v>Resistant</v>
      </c>
      <c r="L147" s="9">
        <v>0</v>
      </c>
      <c r="M147" s="28" t="str">
        <f t="shared" si="19"/>
        <v>Resistant</v>
      </c>
      <c r="N147" s="9">
        <f t="shared" si="20"/>
        <v>4</v>
      </c>
      <c r="O147" s="9" t="str">
        <f t="shared" si="14"/>
        <v>XDR</v>
      </c>
    </row>
    <row r="148" spans="1:15">
      <c r="A148" s="24" t="s">
        <v>221</v>
      </c>
      <c r="B148" s="25" t="s">
        <v>63</v>
      </c>
      <c r="C148" s="25" t="s">
        <v>58</v>
      </c>
      <c r="D148" s="25">
        <v>22</v>
      </c>
      <c r="E148" s="17" t="str">
        <f t="shared" si="15"/>
        <v>Intermediate</v>
      </c>
      <c r="F148" s="25">
        <v>9</v>
      </c>
      <c r="G148" s="17" t="str">
        <f t="shared" si="16"/>
        <v>Resistant</v>
      </c>
      <c r="H148" s="25">
        <v>13</v>
      </c>
      <c r="I148" s="25" t="str">
        <f t="shared" si="17"/>
        <v>Intermediate</v>
      </c>
      <c r="J148" s="25">
        <v>17</v>
      </c>
      <c r="K148" s="25" t="str">
        <f t="shared" si="18"/>
        <v>Intermediate</v>
      </c>
      <c r="L148" s="25">
        <v>12</v>
      </c>
      <c r="M148" s="29" t="str">
        <f t="shared" si="19"/>
        <v>Resistant</v>
      </c>
      <c r="N148" s="25">
        <f t="shared" si="20"/>
        <v>2</v>
      </c>
      <c r="O148" s="25" t="str">
        <f t="shared" si="14"/>
        <v>Susceptible</v>
      </c>
    </row>
    <row r="149" spans="1:15">
      <c r="A149" s="20" t="s">
        <v>222</v>
      </c>
      <c r="B149" s="9" t="s">
        <v>63</v>
      </c>
      <c r="C149" s="9" t="s">
        <v>58</v>
      </c>
      <c r="D149" s="9">
        <v>22</v>
      </c>
      <c r="E149" s="17" t="str">
        <f t="shared" si="15"/>
        <v>Intermediate</v>
      </c>
      <c r="F149" s="9">
        <v>0</v>
      </c>
      <c r="G149" s="17" t="str">
        <f t="shared" si="16"/>
        <v>Resistant</v>
      </c>
      <c r="H149" s="9">
        <v>13</v>
      </c>
      <c r="I149" s="9" t="str">
        <f t="shared" si="17"/>
        <v>Intermediate</v>
      </c>
      <c r="J149" s="9">
        <v>14</v>
      </c>
      <c r="K149" s="9" t="str">
        <f t="shared" si="18"/>
        <v>Intermediate</v>
      </c>
      <c r="L149" s="9">
        <v>7</v>
      </c>
      <c r="M149" s="28" t="str">
        <f t="shared" si="19"/>
        <v>Resistant</v>
      </c>
      <c r="N149" s="9">
        <f t="shared" si="20"/>
        <v>2</v>
      </c>
      <c r="O149" s="9" t="str">
        <f t="shared" si="14"/>
        <v>Susceptible</v>
      </c>
    </row>
    <row r="150" spans="1:15">
      <c r="A150" s="24" t="s">
        <v>223</v>
      </c>
      <c r="B150" s="25" t="s">
        <v>63</v>
      </c>
      <c r="C150" s="25" t="s">
        <v>58</v>
      </c>
      <c r="D150" s="25">
        <v>17</v>
      </c>
      <c r="E150" s="17" t="str">
        <f t="shared" si="15"/>
        <v>Resistant</v>
      </c>
      <c r="F150" s="25">
        <v>0</v>
      </c>
      <c r="G150" s="17" t="str">
        <f t="shared" si="16"/>
        <v>Resistant</v>
      </c>
      <c r="H150" s="25">
        <v>8</v>
      </c>
      <c r="I150" s="25" t="str">
        <f t="shared" si="17"/>
        <v>Resistant</v>
      </c>
      <c r="J150" s="25">
        <v>12</v>
      </c>
      <c r="K150" s="25" t="str">
        <f t="shared" si="18"/>
        <v>Resistant</v>
      </c>
      <c r="L150" s="25">
        <v>0</v>
      </c>
      <c r="M150" s="29" t="str">
        <f t="shared" si="19"/>
        <v>Resistant</v>
      </c>
      <c r="N150" s="25">
        <f t="shared" si="20"/>
        <v>5</v>
      </c>
      <c r="O150" s="25" t="str">
        <f t="shared" si="14"/>
        <v>XDR*</v>
      </c>
    </row>
    <row r="151" spans="1:15">
      <c r="A151" s="20" t="s">
        <v>224</v>
      </c>
      <c r="B151" s="9" t="s">
        <v>63</v>
      </c>
      <c r="C151" s="9" t="s">
        <v>58</v>
      </c>
      <c r="D151" s="9">
        <v>16</v>
      </c>
      <c r="E151" s="17" t="str">
        <f t="shared" si="15"/>
        <v>Resistant</v>
      </c>
      <c r="F151" s="9">
        <v>0</v>
      </c>
      <c r="G151" s="17" t="str">
        <f t="shared" si="16"/>
        <v>Resistant</v>
      </c>
      <c r="H151" s="9">
        <v>7</v>
      </c>
      <c r="I151" s="9" t="str">
        <f t="shared" si="17"/>
        <v>Resistant</v>
      </c>
      <c r="J151" s="9">
        <v>9</v>
      </c>
      <c r="K151" s="9" t="str">
        <f t="shared" si="18"/>
        <v>Resistant</v>
      </c>
      <c r="L151" s="9">
        <v>0</v>
      </c>
      <c r="M151" s="28" t="str">
        <f t="shared" si="19"/>
        <v>Resistant</v>
      </c>
      <c r="N151" s="9">
        <f t="shared" si="20"/>
        <v>5</v>
      </c>
      <c r="O151" s="9" t="str">
        <f t="shared" si="14"/>
        <v>XDR*</v>
      </c>
    </row>
    <row r="152" spans="1:15">
      <c r="A152" s="24" t="s">
        <v>225</v>
      </c>
      <c r="B152" s="25" t="s">
        <v>63</v>
      </c>
      <c r="C152" s="25" t="s">
        <v>58</v>
      </c>
      <c r="D152" s="25">
        <v>18</v>
      </c>
      <c r="E152" s="17" t="str">
        <f t="shared" si="15"/>
        <v>Resistant</v>
      </c>
      <c r="F152" s="25">
        <v>13</v>
      </c>
      <c r="G152" s="17" t="str">
        <f t="shared" si="16"/>
        <v>Resistant</v>
      </c>
      <c r="H152" s="25">
        <v>7</v>
      </c>
      <c r="I152" s="25" t="str">
        <f t="shared" si="17"/>
        <v>Resistant</v>
      </c>
      <c r="J152" s="25">
        <v>11</v>
      </c>
      <c r="K152" s="25" t="str">
        <f t="shared" si="18"/>
        <v>Resistant</v>
      </c>
      <c r="L152" s="25">
        <v>12</v>
      </c>
      <c r="M152" s="29" t="str">
        <f t="shared" si="19"/>
        <v>Resistant</v>
      </c>
      <c r="N152" s="25">
        <f t="shared" si="20"/>
        <v>5</v>
      </c>
      <c r="O152" s="25" t="str">
        <f t="shared" si="14"/>
        <v>XDR*</v>
      </c>
    </row>
    <row r="153" spans="1:15">
      <c r="A153" s="20" t="s">
        <v>226</v>
      </c>
      <c r="B153" s="9" t="s">
        <v>63</v>
      </c>
      <c r="C153" s="9" t="s">
        <v>58</v>
      </c>
      <c r="D153" s="9">
        <v>23</v>
      </c>
      <c r="E153" s="17" t="str">
        <f t="shared" si="15"/>
        <v>Sensitive</v>
      </c>
      <c r="F153" s="9">
        <v>19</v>
      </c>
      <c r="G153" s="17" t="str">
        <f t="shared" si="16"/>
        <v>Intermediate</v>
      </c>
      <c r="H153" s="9">
        <v>18</v>
      </c>
      <c r="I153" s="9" t="str">
        <f t="shared" si="17"/>
        <v>Sensitive</v>
      </c>
      <c r="J153" s="9">
        <v>18</v>
      </c>
      <c r="K153" s="9" t="str">
        <f t="shared" si="18"/>
        <v>Sensitive</v>
      </c>
      <c r="L153" s="9">
        <v>22</v>
      </c>
      <c r="M153" s="28" t="str">
        <f t="shared" si="19"/>
        <v>Intermediate</v>
      </c>
      <c r="N153" s="9">
        <f t="shared" si="20"/>
        <v>0</v>
      </c>
      <c r="O153" s="9" t="str">
        <f t="shared" si="14"/>
        <v>Susceptible</v>
      </c>
    </row>
    <row r="154" spans="1:15">
      <c r="A154" s="24" t="s">
        <v>227</v>
      </c>
      <c r="B154" s="25" t="s">
        <v>63</v>
      </c>
      <c r="C154" s="25" t="s">
        <v>58</v>
      </c>
      <c r="D154" s="25">
        <v>23</v>
      </c>
      <c r="E154" s="17" t="str">
        <f t="shared" si="15"/>
        <v>Sensitive</v>
      </c>
      <c r="F154" s="25">
        <v>13</v>
      </c>
      <c r="G154" s="17" t="str">
        <f t="shared" si="16"/>
        <v>Resistant</v>
      </c>
      <c r="H154" s="25">
        <v>17</v>
      </c>
      <c r="I154" s="25" t="str">
        <f t="shared" si="17"/>
        <v>Sensitive</v>
      </c>
      <c r="J154" s="25">
        <v>0</v>
      </c>
      <c r="K154" s="25" t="str">
        <f t="shared" si="18"/>
        <v>Resistant</v>
      </c>
      <c r="L154" s="25">
        <v>24</v>
      </c>
      <c r="M154" s="29" t="str">
        <f t="shared" si="19"/>
        <v>Intermediate</v>
      </c>
      <c r="N154" s="25">
        <f t="shared" si="20"/>
        <v>2</v>
      </c>
      <c r="O154" s="25" t="str">
        <f t="shared" si="14"/>
        <v>Susceptible</v>
      </c>
    </row>
    <row r="155" spans="1:15">
      <c r="A155" s="20" t="s">
        <v>228</v>
      </c>
      <c r="B155" s="9" t="s">
        <v>63</v>
      </c>
      <c r="C155" s="9" t="s">
        <v>58</v>
      </c>
      <c r="D155" s="9">
        <v>19</v>
      </c>
      <c r="E155" s="17" t="str">
        <f t="shared" si="15"/>
        <v>Resistant</v>
      </c>
      <c r="F155" s="9">
        <v>0</v>
      </c>
      <c r="G155" s="17" t="str">
        <f t="shared" si="16"/>
        <v>Resistant</v>
      </c>
      <c r="H155" s="9">
        <v>12</v>
      </c>
      <c r="I155" s="9" t="str">
        <f t="shared" si="17"/>
        <v>Resistant</v>
      </c>
      <c r="J155" s="9">
        <v>0</v>
      </c>
      <c r="K155" s="9" t="str">
        <f t="shared" si="18"/>
        <v>Resistant</v>
      </c>
      <c r="L155" s="9">
        <v>20</v>
      </c>
      <c r="M155" s="28" t="str">
        <f t="shared" si="19"/>
        <v>Resistant</v>
      </c>
      <c r="N155" s="9">
        <f t="shared" si="20"/>
        <v>5</v>
      </c>
      <c r="O155" s="9" t="str">
        <f t="shared" si="14"/>
        <v>XDR*</v>
      </c>
    </row>
    <row r="156" spans="1:15">
      <c r="A156" s="24" t="s">
        <v>229</v>
      </c>
      <c r="B156" s="25" t="s">
        <v>63</v>
      </c>
      <c r="C156" s="25" t="s">
        <v>58</v>
      </c>
      <c r="D156" s="25">
        <v>17</v>
      </c>
      <c r="E156" s="17" t="str">
        <f t="shared" si="15"/>
        <v>Resistant</v>
      </c>
      <c r="F156" s="25">
        <v>8</v>
      </c>
      <c r="G156" s="17" t="str">
        <f t="shared" si="16"/>
        <v>Resistant</v>
      </c>
      <c r="H156" s="25">
        <v>9</v>
      </c>
      <c r="I156" s="25" t="str">
        <f t="shared" si="17"/>
        <v>Resistant</v>
      </c>
      <c r="J156" s="25">
        <v>0</v>
      </c>
      <c r="K156" s="25" t="str">
        <f t="shared" si="18"/>
        <v>Resistant</v>
      </c>
      <c r="L156" s="25">
        <v>0</v>
      </c>
      <c r="M156" s="29" t="str">
        <f t="shared" si="19"/>
        <v>Resistant</v>
      </c>
      <c r="N156" s="25">
        <f t="shared" si="20"/>
        <v>5</v>
      </c>
      <c r="O156" s="25" t="str">
        <f t="shared" si="14"/>
        <v>XDR*</v>
      </c>
    </row>
    <row r="157" spans="1:15">
      <c r="A157" s="20" t="s">
        <v>230</v>
      </c>
      <c r="B157" s="9" t="s">
        <v>63</v>
      </c>
      <c r="C157" s="9" t="s">
        <v>58</v>
      </c>
      <c r="D157" s="9">
        <v>0</v>
      </c>
      <c r="E157" s="17" t="str">
        <f t="shared" si="15"/>
        <v>Resistant</v>
      </c>
      <c r="F157" s="9">
        <v>0</v>
      </c>
      <c r="G157" s="17" t="str">
        <f t="shared" si="16"/>
        <v>Resistant</v>
      </c>
      <c r="H157" s="9">
        <v>13</v>
      </c>
      <c r="I157" s="9" t="str">
        <f t="shared" si="17"/>
        <v>Intermediate</v>
      </c>
      <c r="J157" s="9">
        <v>8</v>
      </c>
      <c r="K157" s="9" t="str">
        <f t="shared" si="18"/>
        <v>Resistant</v>
      </c>
      <c r="L157" s="9">
        <v>0</v>
      </c>
      <c r="M157" s="28" t="str">
        <f t="shared" si="19"/>
        <v>Resistant</v>
      </c>
      <c r="N157" s="9">
        <f t="shared" si="20"/>
        <v>4</v>
      </c>
      <c r="O157" s="9" t="str">
        <f t="shared" si="14"/>
        <v>XDR</v>
      </c>
    </row>
    <row r="158" spans="1:15">
      <c r="A158" s="24" t="s">
        <v>231</v>
      </c>
      <c r="B158" s="25" t="s">
        <v>63</v>
      </c>
      <c r="C158" s="25" t="s">
        <v>58</v>
      </c>
      <c r="D158" s="25">
        <v>24</v>
      </c>
      <c r="E158" s="17" t="str">
        <f t="shared" si="15"/>
        <v>Sensitive</v>
      </c>
      <c r="F158" s="25">
        <v>11</v>
      </c>
      <c r="G158" s="17" t="str">
        <f t="shared" si="16"/>
        <v>Resistant</v>
      </c>
      <c r="H158" s="25">
        <v>18</v>
      </c>
      <c r="I158" s="25" t="str">
        <f t="shared" si="17"/>
        <v>Sensitive</v>
      </c>
      <c r="J158" s="25">
        <v>15</v>
      </c>
      <c r="K158" s="25" t="str">
        <f t="shared" si="18"/>
        <v>Intermediate</v>
      </c>
      <c r="L158" s="25">
        <v>21</v>
      </c>
      <c r="M158" s="29" t="str">
        <f t="shared" si="19"/>
        <v>Resistant</v>
      </c>
      <c r="N158" s="25">
        <f t="shared" si="20"/>
        <v>2</v>
      </c>
      <c r="O158" s="25" t="str">
        <f t="shared" si="14"/>
        <v>Susceptible</v>
      </c>
    </row>
    <row r="159" spans="1:15">
      <c r="A159" s="20" t="s">
        <v>232</v>
      </c>
      <c r="B159" s="9" t="s">
        <v>63</v>
      </c>
      <c r="C159" s="9" t="s">
        <v>58</v>
      </c>
      <c r="D159" s="9">
        <v>23</v>
      </c>
      <c r="E159" s="17" t="str">
        <f t="shared" si="15"/>
        <v>Sensitive</v>
      </c>
      <c r="F159" s="9">
        <v>12</v>
      </c>
      <c r="G159" s="17" t="str">
        <f t="shared" si="16"/>
        <v>Resistant</v>
      </c>
      <c r="H159" s="9">
        <v>17</v>
      </c>
      <c r="I159" s="9" t="str">
        <f t="shared" si="17"/>
        <v>Sensitive</v>
      </c>
      <c r="J159" s="9">
        <v>10</v>
      </c>
      <c r="K159" s="9" t="str">
        <f t="shared" si="18"/>
        <v>Resistant</v>
      </c>
      <c r="L159" s="9">
        <v>25</v>
      </c>
      <c r="M159" s="28" t="str">
        <f t="shared" si="19"/>
        <v>Intermediate</v>
      </c>
      <c r="N159" s="9">
        <f t="shared" si="20"/>
        <v>2</v>
      </c>
      <c r="O159" s="9" t="str">
        <f t="shared" si="14"/>
        <v>Susceptible</v>
      </c>
    </row>
    <row r="160" spans="1:15">
      <c r="A160" s="24" t="s">
        <v>233</v>
      </c>
      <c r="B160" s="25" t="s">
        <v>63</v>
      </c>
      <c r="C160" s="25" t="s">
        <v>58</v>
      </c>
      <c r="D160" s="25">
        <v>20</v>
      </c>
      <c r="E160" s="17" t="str">
        <f t="shared" si="15"/>
        <v>Intermediate</v>
      </c>
      <c r="F160" s="25">
        <v>14</v>
      </c>
      <c r="G160" s="17" t="str">
        <f t="shared" si="16"/>
        <v>Resistant</v>
      </c>
      <c r="H160" s="25">
        <v>16</v>
      </c>
      <c r="I160" s="25" t="str">
        <f t="shared" si="17"/>
        <v>Sensitive</v>
      </c>
      <c r="J160" s="25">
        <v>20</v>
      </c>
      <c r="K160" s="25" t="str">
        <f t="shared" si="18"/>
        <v>Sensitive</v>
      </c>
      <c r="L160" s="25">
        <v>22</v>
      </c>
      <c r="M160" s="29" t="str">
        <f t="shared" si="19"/>
        <v>Intermediate</v>
      </c>
      <c r="N160" s="25">
        <f t="shared" si="20"/>
        <v>1</v>
      </c>
      <c r="O160" s="25" t="str">
        <f t="shared" si="14"/>
        <v>Susceptible</v>
      </c>
    </row>
    <row r="161" spans="1:15">
      <c r="A161" s="20" t="s">
        <v>234</v>
      </c>
      <c r="B161" s="9" t="s">
        <v>63</v>
      </c>
      <c r="C161" s="9" t="s">
        <v>58</v>
      </c>
      <c r="D161" s="9">
        <v>24</v>
      </c>
      <c r="E161" s="17" t="str">
        <f t="shared" si="15"/>
        <v>Sensitive</v>
      </c>
      <c r="F161" s="9">
        <v>15</v>
      </c>
      <c r="G161" s="17" t="str">
        <f t="shared" si="16"/>
        <v>Resistant</v>
      </c>
      <c r="H161" s="9">
        <v>16</v>
      </c>
      <c r="I161" s="9" t="str">
        <f t="shared" si="17"/>
        <v>Sensitive</v>
      </c>
      <c r="J161" s="9">
        <v>12</v>
      </c>
      <c r="K161" s="9" t="str">
        <f t="shared" si="18"/>
        <v>Resistant</v>
      </c>
      <c r="L161" s="9">
        <v>24</v>
      </c>
      <c r="M161" s="28" t="str">
        <f t="shared" si="19"/>
        <v>Intermediate</v>
      </c>
      <c r="N161" s="9">
        <f t="shared" si="20"/>
        <v>2</v>
      </c>
      <c r="O161" s="9" t="str">
        <f t="shared" si="14"/>
        <v>Susceptible</v>
      </c>
    </row>
    <row r="162" spans="1:15">
      <c r="A162" s="24" t="s">
        <v>235</v>
      </c>
      <c r="B162" s="25" t="s">
        <v>63</v>
      </c>
      <c r="C162" s="25" t="s">
        <v>58</v>
      </c>
      <c r="D162" s="25">
        <v>27</v>
      </c>
      <c r="E162" s="17" t="str">
        <f t="shared" si="15"/>
        <v>Sensitive</v>
      </c>
      <c r="F162" s="25">
        <v>25</v>
      </c>
      <c r="G162" s="17" t="str">
        <f t="shared" si="16"/>
        <v>Sensitive</v>
      </c>
      <c r="H162" s="25">
        <v>12</v>
      </c>
      <c r="I162" s="25" t="str">
        <f t="shared" si="17"/>
        <v>Resistant</v>
      </c>
      <c r="J162" s="25">
        <v>17</v>
      </c>
      <c r="K162" s="25" t="str">
        <f t="shared" si="18"/>
        <v>Intermediate</v>
      </c>
      <c r="L162" s="25">
        <v>25</v>
      </c>
      <c r="M162" s="29" t="str">
        <f t="shared" si="19"/>
        <v>Intermediate</v>
      </c>
      <c r="N162" s="25">
        <f t="shared" si="20"/>
        <v>1</v>
      </c>
      <c r="O162" s="25" t="str">
        <f t="shared" si="14"/>
        <v>Susceptible</v>
      </c>
    </row>
    <row r="163" spans="1:15">
      <c r="A163" s="20" t="s">
        <v>236</v>
      </c>
      <c r="B163" s="9" t="s">
        <v>63</v>
      </c>
      <c r="C163" s="9" t="s">
        <v>58</v>
      </c>
      <c r="D163" s="9">
        <v>18</v>
      </c>
      <c r="E163" s="17" t="str">
        <f t="shared" si="15"/>
        <v>Resistant</v>
      </c>
      <c r="F163" s="9">
        <v>0</v>
      </c>
      <c r="G163" s="17" t="str">
        <f t="shared" si="16"/>
        <v>Resistant</v>
      </c>
      <c r="H163" s="9">
        <v>10</v>
      </c>
      <c r="I163" s="9" t="str">
        <f t="shared" si="17"/>
        <v>Resistant</v>
      </c>
      <c r="J163" s="9">
        <v>11</v>
      </c>
      <c r="K163" s="9" t="str">
        <f t="shared" si="18"/>
        <v>Resistant</v>
      </c>
      <c r="L163" s="9">
        <v>8</v>
      </c>
      <c r="M163" s="28" t="str">
        <f t="shared" si="19"/>
        <v>Resistant</v>
      </c>
      <c r="N163" s="9">
        <f t="shared" si="20"/>
        <v>5</v>
      </c>
      <c r="O163" s="9" t="str">
        <f t="shared" si="14"/>
        <v>XDR*</v>
      </c>
    </row>
    <row r="164" spans="1:15">
      <c r="A164" s="24" t="s">
        <v>237</v>
      </c>
      <c r="B164" s="25" t="s">
        <v>63</v>
      </c>
      <c r="C164" s="25" t="s">
        <v>58</v>
      </c>
      <c r="D164" s="25">
        <v>21</v>
      </c>
      <c r="E164" s="17" t="str">
        <f t="shared" si="15"/>
        <v>Intermediate</v>
      </c>
      <c r="F164" s="25">
        <v>20</v>
      </c>
      <c r="G164" s="17" t="str">
        <f t="shared" si="16"/>
        <v>Intermediate</v>
      </c>
      <c r="H164" s="25">
        <v>15</v>
      </c>
      <c r="I164" s="25" t="str">
        <f t="shared" si="17"/>
        <v>Sensitive</v>
      </c>
      <c r="J164" s="25">
        <v>0</v>
      </c>
      <c r="K164" s="25" t="str">
        <f t="shared" si="18"/>
        <v>Resistant</v>
      </c>
      <c r="L164" s="25">
        <v>26</v>
      </c>
      <c r="M164" s="29" t="str">
        <f t="shared" si="19"/>
        <v>Sensitive</v>
      </c>
      <c r="N164" s="25">
        <f t="shared" si="20"/>
        <v>1</v>
      </c>
      <c r="O164" s="25" t="str">
        <f t="shared" si="14"/>
        <v>Susceptible</v>
      </c>
    </row>
    <row r="165" spans="1:15">
      <c r="A165" s="20" t="s">
        <v>238</v>
      </c>
      <c r="B165" s="9" t="s">
        <v>63</v>
      </c>
      <c r="C165" s="9" t="s">
        <v>58</v>
      </c>
      <c r="D165" s="9">
        <v>21</v>
      </c>
      <c r="E165" s="17" t="str">
        <f t="shared" si="15"/>
        <v>Intermediate</v>
      </c>
      <c r="F165" s="9">
        <v>0</v>
      </c>
      <c r="G165" s="17" t="str">
        <f t="shared" si="16"/>
        <v>Resistant</v>
      </c>
      <c r="H165" s="9">
        <v>13</v>
      </c>
      <c r="I165" s="9" t="str">
        <f t="shared" si="17"/>
        <v>Intermediate</v>
      </c>
      <c r="J165" s="9">
        <v>0</v>
      </c>
      <c r="K165" s="9" t="str">
        <f t="shared" si="18"/>
        <v>Resistant</v>
      </c>
      <c r="L165" s="9">
        <v>12</v>
      </c>
      <c r="M165" s="28" t="str">
        <f t="shared" si="19"/>
        <v>Resistant</v>
      </c>
      <c r="N165" s="9">
        <f t="shared" si="20"/>
        <v>3</v>
      </c>
      <c r="O165" s="9" t="str">
        <f t="shared" si="14"/>
        <v>MDR</v>
      </c>
    </row>
    <row r="166" spans="1:15">
      <c r="A166" s="24" t="s">
        <v>239</v>
      </c>
      <c r="B166" s="25" t="s">
        <v>63</v>
      </c>
      <c r="C166" s="25" t="s">
        <v>58</v>
      </c>
      <c r="D166" s="25">
        <v>20</v>
      </c>
      <c r="E166" s="17" t="str">
        <f t="shared" si="15"/>
        <v>Intermediate</v>
      </c>
      <c r="F166" s="25">
        <v>24</v>
      </c>
      <c r="G166" s="17" t="str">
        <f t="shared" si="16"/>
        <v>Sensitive</v>
      </c>
      <c r="H166" s="25">
        <v>16</v>
      </c>
      <c r="I166" s="25" t="str">
        <f t="shared" si="17"/>
        <v>Sensitive</v>
      </c>
      <c r="J166" s="25">
        <v>0</v>
      </c>
      <c r="K166" s="25" t="str">
        <f t="shared" si="18"/>
        <v>Resistant</v>
      </c>
      <c r="L166" s="25">
        <v>23</v>
      </c>
      <c r="M166" s="29" t="str">
        <f t="shared" si="19"/>
        <v>Intermediate</v>
      </c>
      <c r="N166" s="25">
        <f t="shared" si="20"/>
        <v>1</v>
      </c>
      <c r="O166" s="25" t="str">
        <f t="shared" si="14"/>
        <v>Susceptible</v>
      </c>
    </row>
    <row r="167" spans="1:15">
      <c r="A167" s="20" t="s">
        <v>240</v>
      </c>
      <c r="B167" s="9" t="s">
        <v>63</v>
      </c>
      <c r="C167" s="9" t="s">
        <v>58</v>
      </c>
      <c r="D167" s="9">
        <v>21</v>
      </c>
      <c r="E167" s="17" t="str">
        <f t="shared" si="15"/>
        <v>Intermediate</v>
      </c>
      <c r="F167" s="9">
        <v>0</v>
      </c>
      <c r="G167" s="17" t="str">
        <f t="shared" si="16"/>
        <v>Resistant</v>
      </c>
      <c r="H167" s="9">
        <v>19</v>
      </c>
      <c r="I167" s="9" t="str">
        <f t="shared" si="17"/>
        <v>Sensitive</v>
      </c>
      <c r="J167" s="9">
        <v>10</v>
      </c>
      <c r="K167" s="9" t="str">
        <f t="shared" si="18"/>
        <v>Resistant</v>
      </c>
      <c r="L167" s="9">
        <v>12</v>
      </c>
      <c r="M167" s="28" t="str">
        <f t="shared" si="19"/>
        <v>Resistant</v>
      </c>
      <c r="N167" s="9">
        <f t="shared" si="20"/>
        <v>3</v>
      </c>
      <c r="O167" s="9" t="str">
        <f t="shared" si="14"/>
        <v>MDR</v>
      </c>
    </row>
    <row r="168" spans="1:15">
      <c r="A168" s="24" t="s">
        <v>241</v>
      </c>
      <c r="B168" s="25" t="s">
        <v>63</v>
      </c>
      <c r="C168" s="25" t="s">
        <v>58</v>
      </c>
      <c r="D168" s="25">
        <v>20</v>
      </c>
      <c r="E168" s="17" t="str">
        <f t="shared" si="15"/>
        <v>Intermediate</v>
      </c>
      <c r="F168" s="25">
        <v>18</v>
      </c>
      <c r="G168" s="17" t="str">
        <f t="shared" si="16"/>
        <v>Intermediate</v>
      </c>
      <c r="H168" s="25">
        <v>14</v>
      </c>
      <c r="I168" s="25" t="str">
        <f t="shared" si="17"/>
        <v>Intermediate</v>
      </c>
      <c r="J168" s="25">
        <v>0</v>
      </c>
      <c r="K168" s="25" t="str">
        <f t="shared" si="18"/>
        <v>Resistant</v>
      </c>
      <c r="L168" s="25">
        <v>20</v>
      </c>
      <c r="M168" s="29" t="str">
        <f t="shared" si="19"/>
        <v>Resistant</v>
      </c>
      <c r="N168" s="25">
        <f t="shared" si="20"/>
        <v>2</v>
      </c>
      <c r="O168" s="25" t="str">
        <f t="shared" si="14"/>
        <v>Susceptible</v>
      </c>
    </row>
    <row r="169" spans="1:15">
      <c r="A169" s="20" t="s">
        <v>242</v>
      </c>
      <c r="B169" s="9" t="s">
        <v>63</v>
      </c>
      <c r="C169" s="9" t="s">
        <v>58</v>
      </c>
      <c r="D169" s="9">
        <v>22</v>
      </c>
      <c r="E169" s="17" t="str">
        <f t="shared" si="15"/>
        <v>Intermediate</v>
      </c>
      <c r="F169" s="9">
        <v>24</v>
      </c>
      <c r="G169" s="17" t="str">
        <f t="shared" si="16"/>
        <v>Sensitive</v>
      </c>
      <c r="H169" s="9">
        <v>16</v>
      </c>
      <c r="I169" s="9" t="str">
        <f t="shared" si="17"/>
        <v>Sensitive</v>
      </c>
      <c r="J169" s="9">
        <v>17</v>
      </c>
      <c r="K169" s="9" t="str">
        <f t="shared" si="18"/>
        <v>Intermediate</v>
      </c>
      <c r="L169" s="9">
        <v>22</v>
      </c>
      <c r="M169" s="28" t="str">
        <f t="shared" si="19"/>
        <v>Intermediate</v>
      </c>
      <c r="N169" s="9">
        <f t="shared" si="20"/>
        <v>0</v>
      </c>
      <c r="O169" s="9" t="str">
        <f t="shared" si="14"/>
        <v>Susceptible</v>
      </c>
    </row>
    <row r="170" spans="1:15">
      <c r="A170" s="24" t="s">
        <v>243</v>
      </c>
      <c r="B170" s="25" t="s">
        <v>63</v>
      </c>
      <c r="C170" s="25" t="s">
        <v>58</v>
      </c>
      <c r="D170" s="25">
        <v>28</v>
      </c>
      <c r="E170" s="17" t="str">
        <f t="shared" si="15"/>
        <v>Sensitive</v>
      </c>
      <c r="F170" s="25">
        <v>18</v>
      </c>
      <c r="G170" s="17" t="str">
        <f t="shared" si="16"/>
        <v>Intermediate</v>
      </c>
      <c r="H170" s="25">
        <v>21</v>
      </c>
      <c r="I170" s="25" t="str">
        <f t="shared" si="17"/>
        <v>Sensitive</v>
      </c>
      <c r="J170" s="25">
        <v>9</v>
      </c>
      <c r="K170" s="25" t="str">
        <f t="shared" si="18"/>
        <v>Resistant</v>
      </c>
      <c r="L170" s="25">
        <v>26</v>
      </c>
      <c r="M170" s="29" t="str">
        <f t="shared" si="19"/>
        <v>Sensitive</v>
      </c>
      <c r="N170" s="25">
        <f t="shared" si="20"/>
        <v>1</v>
      </c>
      <c r="O170" s="25" t="str">
        <f t="shared" si="14"/>
        <v>Susceptible</v>
      </c>
    </row>
    <row r="171" spans="1:15">
      <c r="A171" s="20" t="s">
        <v>244</v>
      </c>
      <c r="B171" s="9" t="s">
        <v>63</v>
      </c>
      <c r="C171" s="21" t="s">
        <v>60</v>
      </c>
      <c r="D171" s="9">
        <v>20</v>
      </c>
      <c r="E171" s="17" t="str">
        <f t="shared" si="15"/>
        <v>Intermediate</v>
      </c>
      <c r="F171" s="9">
        <v>0</v>
      </c>
      <c r="G171" s="17" t="str">
        <f t="shared" si="16"/>
        <v>Resistant</v>
      </c>
      <c r="H171" s="9">
        <v>12</v>
      </c>
      <c r="I171" s="9" t="str">
        <f t="shared" si="17"/>
        <v>Resistant</v>
      </c>
      <c r="J171" s="9">
        <v>14</v>
      </c>
      <c r="K171" s="9" t="str">
        <f t="shared" si="18"/>
        <v>Intermediate</v>
      </c>
      <c r="L171" s="9">
        <v>11</v>
      </c>
      <c r="M171" s="28" t="str">
        <f t="shared" si="19"/>
        <v>Resistant</v>
      </c>
      <c r="N171" s="9">
        <f t="shared" si="20"/>
        <v>3</v>
      </c>
      <c r="O171" s="9" t="str">
        <f t="shared" si="14"/>
        <v>MDR</v>
      </c>
    </row>
    <row r="172" spans="1:15">
      <c r="A172" s="24" t="s">
        <v>245</v>
      </c>
      <c r="B172" s="25" t="s">
        <v>63</v>
      </c>
      <c r="C172" s="26" t="s">
        <v>60</v>
      </c>
      <c r="D172" s="25">
        <v>20</v>
      </c>
      <c r="E172" s="17" t="str">
        <f t="shared" si="15"/>
        <v>Intermediate</v>
      </c>
      <c r="F172" s="25">
        <v>12</v>
      </c>
      <c r="G172" s="17" t="str">
        <f t="shared" si="16"/>
        <v>Resistant</v>
      </c>
      <c r="H172" s="25">
        <v>21</v>
      </c>
      <c r="I172" s="25" t="str">
        <f t="shared" si="17"/>
        <v>Sensitive</v>
      </c>
      <c r="J172" s="25">
        <v>15</v>
      </c>
      <c r="K172" s="25" t="str">
        <f t="shared" si="18"/>
        <v>Intermediate</v>
      </c>
      <c r="L172" s="25">
        <v>22</v>
      </c>
      <c r="M172" s="29" t="str">
        <f t="shared" si="19"/>
        <v>Intermediate</v>
      </c>
      <c r="N172" s="25">
        <f t="shared" si="20"/>
        <v>1</v>
      </c>
      <c r="O172" s="25" t="str">
        <f t="shared" si="14"/>
        <v>Susceptible</v>
      </c>
    </row>
    <row r="173" spans="1:15">
      <c r="A173" s="20" t="s">
        <v>246</v>
      </c>
      <c r="B173" s="9" t="s">
        <v>63</v>
      </c>
      <c r="C173" s="21" t="s">
        <v>60</v>
      </c>
      <c r="D173" s="9">
        <v>23</v>
      </c>
      <c r="E173" s="17" t="str">
        <f t="shared" si="15"/>
        <v>Sensitive</v>
      </c>
      <c r="F173" s="9">
        <v>20</v>
      </c>
      <c r="G173" s="17" t="str">
        <f t="shared" si="16"/>
        <v>Intermediate</v>
      </c>
      <c r="H173" s="9">
        <v>18</v>
      </c>
      <c r="I173" s="9" t="str">
        <f t="shared" si="17"/>
        <v>Sensitive</v>
      </c>
      <c r="J173" s="9">
        <v>25</v>
      </c>
      <c r="K173" s="9" t="str">
        <f t="shared" si="18"/>
        <v>Sensitive</v>
      </c>
      <c r="L173" s="9">
        <v>17</v>
      </c>
      <c r="M173" s="28" t="str">
        <f t="shared" si="19"/>
        <v>Resistant</v>
      </c>
      <c r="N173" s="9">
        <f t="shared" si="20"/>
        <v>1</v>
      </c>
      <c r="O173" s="9" t="str">
        <f t="shared" si="14"/>
        <v>Susceptible</v>
      </c>
    </row>
    <row r="174" spans="1:15">
      <c r="A174" s="24" t="s">
        <v>247</v>
      </c>
      <c r="B174" s="25" t="s">
        <v>63</v>
      </c>
      <c r="C174" s="26" t="s">
        <v>60</v>
      </c>
      <c r="D174" s="25">
        <v>20</v>
      </c>
      <c r="E174" s="17" t="str">
        <f t="shared" si="15"/>
        <v>Intermediate</v>
      </c>
      <c r="F174" s="25">
        <v>0</v>
      </c>
      <c r="G174" s="17" t="str">
        <f t="shared" si="16"/>
        <v>Resistant</v>
      </c>
      <c r="H174" s="25">
        <v>9</v>
      </c>
      <c r="I174" s="25" t="str">
        <f t="shared" si="17"/>
        <v>Resistant</v>
      </c>
      <c r="J174" s="25">
        <v>15</v>
      </c>
      <c r="K174" s="25" t="str">
        <f t="shared" si="18"/>
        <v>Intermediate</v>
      </c>
      <c r="L174" s="25">
        <v>9</v>
      </c>
      <c r="M174" s="29" t="str">
        <f t="shared" si="19"/>
        <v>Resistant</v>
      </c>
      <c r="N174" s="25">
        <f t="shared" si="20"/>
        <v>3</v>
      </c>
      <c r="O174" s="25" t="str">
        <f t="shared" si="14"/>
        <v>MDR</v>
      </c>
    </row>
    <row r="175" spans="1:15">
      <c r="A175" s="20" t="s">
        <v>248</v>
      </c>
      <c r="B175" s="9" t="s">
        <v>63</v>
      </c>
      <c r="C175" s="21" t="s">
        <v>60</v>
      </c>
      <c r="D175" s="9">
        <v>23</v>
      </c>
      <c r="E175" s="17" t="str">
        <f t="shared" si="15"/>
        <v>Sensitive</v>
      </c>
      <c r="F175" s="9">
        <v>12</v>
      </c>
      <c r="G175" s="17" t="str">
        <f t="shared" si="16"/>
        <v>Resistant</v>
      </c>
      <c r="H175" s="9">
        <v>20</v>
      </c>
      <c r="I175" s="9" t="str">
        <f t="shared" si="17"/>
        <v>Sensitive</v>
      </c>
      <c r="J175" s="9">
        <v>25</v>
      </c>
      <c r="K175" s="9" t="str">
        <f t="shared" si="18"/>
        <v>Sensitive</v>
      </c>
      <c r="L175" s="9">
        <v>28</v>
      </c>
      <c r="M175" s="28" t="str">
        <f t="shared" si="19"/>
        <v>Sensitive</v>
      </c>
      <c r="N175" s="9">
        <f t="shared" si="20"/>
        <v>1</v>
      </c>
      <c r="O175" s="9" t="str">
        <f t="shared" si="14"/>
        <v>Susceptible</v>
      </c>
    </row>
    <row r="176" spans="1:15">
      <c r="A176" s="24" t="s">
        <v>249</v>
      </c>
      <c r="B176" s="25" t="s">
        <v>63</v>
      </c>
      <c r="C176" s="26" t="s">
        <v>60</v>
      </c>
      <c r="D176" s="25">
        <v>22</v>
      </c>
      <c r="E176" s="17" t="str">
        <f t="shared" si="15"/>
        <v>Intermediate</v>
      </c>
      <c r="F176" s="25">
        <v>10</v>
      </c>
      <c r="G176" s="17" t="str">
        <f t="shared" si="16"/>
        <v>Resistant</v>
      </c>
      <c r="H176" s="25">
        <v>18</v>
      </c>
      <c r="I176" s="25" t="str">
        <f t="shared" si="17"/>
        <v>Sensitive</v>
      </c>
      <c r="J176" s="25">
        <v>0</v>
      </c>
      <c r="K176" s="25" t="str">
        <f t="shared" si="18"/>
        <v>Resistant</v>
      </c>
      <c r="L176" s="25">
        <v>19</v>
      </c>
      <c r="M176" s="29" t="str">
        <f t="shared" si="19"/>
        <v>Resistant</v>
      </c>
      <c r="N176" s="25">
        <f t="shared" si="20"/>
        <v>3</v>
      </c>
      <c r="O176" s="25" t="str">
        <f t="shared" si="14"/>
        <v>MDR</v>
      </c>
    </row>
    <row r="177" spans="1:15">
      <c r="A177" s="20" t="s">
        <v>250</v>
      </c>
      <c r="B177" s="9" t="s">
        <v>63</v>
      </c>
      <c r="C177" s="21" t="s">
        <v>60</v>
      </c>
      <c r="D177" s="9">
        <v>19</v>
      </c>
      <c r="E177" s="17" t="str">
        <f t="shared" si="15"/>
        <v>Resistant</v>
      </c>
      <c r="F177" s="9">
        <v>22</v>
      </c>
      <c r="G177" s="17" t="str">
        <f t="shared" si="16"/>
        <v>Sensitive</v>
      </c>
      <c r="H177" s="9">
        <v>19</v>
      </c>
      <c r="I177" s="9" t="str">
        <f t="shared" si="17"/>
        <v>Sensitive</v>
      </c>
      <c r="J177" s="9">
        <v>9</v>
      </c>
      <c r="K177" s="9" t="str">
        <f t="shared" si="18"/>
        <v>Resistant</v>
      </c>
      <c r="L177" s="9">
        <v>15</v>
      </c>
      <c r="M177" s="28" t="str">
        <f t="shared" si="19"/>
        <v>Resistant</v>
      </c>
      <c r="N177" s="9">
        <f t="shared" si="20"/>
        <v>3</v>
      </c>
      <c r="O177" s="9" t="str">
        <f t="shared" si="14"/>
        <v>MDR</v>
      </c>
    </row>
    <row r="178" spans="1:15">
      <c r="A178" s="24" t="s">
        <v>251</v>
      </c>
      <c r="B178" s="25" t="s">
        <v>63</v>
      </c>
      <c r="C178" s="26" t="s">
        <v>60</v>
      </c>
      <c r="D178" s="25">
        <v>21</v>
      </c>
      <c r="E178" s="17" t="str">
        <f t="shared" si="15"/>
        <v>Intermediate</v>
      </c>
      <c r="F178" s="25">
        <v>17</v>
      </c>
      <c r="G178" s="17" t="str">
        <f t="shared" si="16"/>
        <v>Resistant</v>
      </c>
      <c r="H178" s="25">
        <v>16</v>
      </c>
      <c r="I178" s="25" t="str">
        <f t="shared" si="17"/>
        <v>Sensitive</v>
      </c>
      <c r="J178" s="25">
        <v>20</v>
      </c>
      <c r="K178" s="25" t="str">
        <f t="shared" si="18"/>
        <v>Sensitive</v>
      </c>
      <c r="L178" s="25">
        <v>26</v>
      </c>
      <c r="M178" s="29" t="str">
        <f t="shared" si="19"/>
        <v>Sensitive</v>
      </c>
      <c r="N178" s="25">
        <f t="shared" si="20"/>
        <v>1</v>
      </c>
      <c r="O178" s="25" t="str">
        <f t="shared" si="14"/>
        <v>Susceptible</v>
      </c>
    </row>
    <row r="179" spans="1:15">
      <c r="A179" s="20" t="s">
        <v>252</v>
      </c>
      <c r="B179" s="9" t="s">
        <v>63</v>
      </c>
      <c r="C179" s="21" t="s">
        <v>60</v>
      </c>
      <c r="D179" s="9">
        <v>21</v>
      </c>
      <c r="E179" s="17" t="str">
        <f t="shared" si="15"/>
        <v>Intermediate</v>
      </c>
      <c r="F179" s="9">
        <v>0</v>
      </c>
      <c r="G179" s="17" t="str">
        <f t="shared" si="16"/>
        <v>Resistant</v>
      </c>
      <c r="H179" s="9">
        <v>17</v>
      </c>
      <c r="I179" s="9" t="str">
        <f t="shared" si="17"/>
        <v>Sensitive</v>
      </c>
      <c r="J179" s="9">
        <v>7</v>
      </c>
      <c r="K179" s="9" t="str">
        <f t="shared" si="18"/>
        <v>Resistant</v>
      </c>
      <c r="L179" s="9">
        <v>20</v>
      </c>
      <c r="M179" s="28" t="str">
        <f t="shared" si="19"/>
        <v>Resistant</v>
      </c>
      <c r="N179" s="9">
        <f t="shared" si="20"/>
        <v>3</v>
      </c>
      <c r="O179" s="9" t="str">
        <f t="shared" si="14"/>
        <v>MDR</v>
      </c>
    </row>
    <row r="180" spans="1:15">
      <c r="A180" s="24" t="s">
        <v>253</v>
      </c>
      <c r="B180" s="25" t="s">
        <v>63</v>
      </c>
      <c r="C180" s="26" t="s">
        <v>60</v>
      </c>
      <c r="D180" s="25">
        <v>22</v>
      </c>
      <c r="E180" s="17" t="str">
        <f t="shared" si="15"/>
        <v>Intermediate</v>
      </c>
      <c r="F180" s="25">
        <v>0</v>
      </c>
      <c r="G180" s="17" t="str">
        <f t="shared" si="16"/>
        <v>Resistant</v>
      </c>
      <c r="H180" s="25">
        <v>17</v>
      </c>
      <c r="I180" s="25" t="str">
        <f t="shared" si="17"/>
        <v>Sensitive</v>
      </c>
      <c r="J180" s="25">
        <v>13</v>
      </c>
      <c r="K180" s="25" t="str">
        <f t="shared" si="18"/>
        <v>Resistant</v>
      </c>
      <c r="L180" s="25">
        <v>23</v>
      </c>
      <c r="M180" s="29" t="str">
        <f t="shared" si="19"/>
        <v>Intermediate</v>
      </c>
      <c r="N180" s="25">
        <f t="shared" si="20"/>
        <v>2</v>
      </c>
      <c r="O180" s="25" t="str">
        <f t="shared" si="14"/>
        <v>Susceptible</v>
      </c>
    </row>
    <row r="181" spans="1:15">
      <c r="A181" s="20" t="s">
        <v>254</v>
      </c>
      <c r="B181" s="9" t="s">
        <v>63</v>
      </c>
      <c r="C181" s="21" t="s">
        <v>60</v>
      </c>
      <c r="D181" s="9">
        <v>20</v>
      </c>
      <c r="E181" s="17" t="str">
        <f t="shared" si="15"/>
        <v>Intermediate</v>
      </c>
      <c r="F181" s="9">
        <v>13</v>
      </c>
      <c r="G181" s="17" t="str">
        <f t="shared" si="16"/>
        <v>Resistant</v>
      </c>
      <c r="H181" s="9">
        <v>18</v>
      </c>
      <c r="I181" s="9" t="str">
        <f t="shared" si="17"/>
        <v>Sensitive</v>
      </c>
      <c r="J181" s="9">
        <v>0</v>
      </c>
      <c r="K181" s="9" t="str">
        <f t="shared" si="18"/>
        <v>Resistant</v>
      </c>
      <c r="L181" s="9">
        <v>22</v>
      </c>
      <c r="M181" s="28" t="str">
        <f t="shared" si="19"/>
        <v>Intermediate</v>
      </c>
      <c r="N181" s="9">
        <f t="shared" si="20"/>
        <v>2</v>
      </c>
      <c r="O181" s="9" t="str">
        <f t="shared" si="14"/>
        <v>Susceptible</v>
      </c>
    </row>
    <row r="182" spans="1:15">
      <c r="A182" s="24" t="s">
        <v>255</v>
      </c>
      <c r="B182" s="25" t="s">
        <v>63</v>
      </c>
      <c r="C182" s="26" t="s">
        <v>60</v>
      </c>
      <c r="D182" s="25">
        <v>26</v>
      </c>
      <c r="E182" s="17" t="str">
        <f t="shared" si="15"/>
        <v>Sensitive</v>
      </c>
      <c r="F182" s="25">
        <v>12</v>
      </c>
      <c r="G182" s="17" t="str">
        <f t="shared" si="16"/>
        <v>Resistant</v>
      </c>
      <c r="H182" s="25">
        <v>21</v>
      </c>
      <c r="I182" s="25" t="str">
        <f t="shared" si="17"/>
        <v>Sensitive</v>
      </c>
      <c r="J182" s="25">
        <v>0</v>
      </c>
      <c r="K182" s="25" t="str">
        <f t="shared" si="18"/>
        <v>Resistant</v>
      </c>
      <c r="L182" s="25">
        <v>22</v>
      </c>
      <c r="M182" s="29" t="str">
        <f t="shared" si="19"/>
        <v>Intermediate</v>
      </c>
      <c r="N182" s="25">
        <f t="shared" si="20"/>
        <v>2</v>
      </c>
      <c r="O182" s="25" t="str">
        <f t="shared" si="14"/>
        <v>Susceptible</v>
      </c>
    </row>
    <row r="183" spans="1:15">
      <c r="A183" s="20" t="s">
        <v>256</v>
      </c>
      <c r="B183" s="9" t="s">
        <v>63</v>
      </c>
      <c r="C183" s="21" t="s">
        <v>60</v>
      </c>
      <c r="D183" s="9">
        <v>17</v>
      </c>
      <c r="E183" s="17" t="str">
        <f t="shared" si="15"/>
        <v>Resistant</v>
      </c>
      <c r="F183" s="9">
        <v>0</v>
      </c>
      <c r="G183" s="17" t="str">
        <f t="shared" si="16"/>
        <v>Resistant</v>
      </c>
      <c r="H183" s="9">
        <v>8</v>
      </c>
      <c r="I183" s="9" t="str">
        <f t="shared" si="17"/>
        <v>Resistant</v>
      </c>
      <c r="J183" s="9">
        <v>0</v>
      </c>
      <c r="K183" s="9" t="str">
        <f t="shared" si="18"/>
        <v>Resistant</v>
      </c>
      <c r="L183" s="9">
        <v>9</v>
      </c>
      <c r="M183" s="28" t="str">
        <f t="shared" si="19"/>
        <v>Resistant</v>
      </c>
      <c r="N183" s="9">
        <f t="shared" si="20"/>
        <v>5</v>
      </c>
      <c r="O183" s="9" t="str">
        <f t="shared" si="14"/>
        <v>XDR*</v>
      </c>
    </row>
    <row r="184" spans="1:15">
      <c r="A184" s="24" t="s">
        <v>257</v>
      </c>
      <c r="B184" s="25" t="s">
        <v>63</v>
      </c>
      <c r="C184" s="26" t="s">
        <v>60</v>
      </c>
      <c r="D184" s="25">
        <v>21</v>
      </c>
      <c r="E184" s="17" t="str">
        <f t="shared" si="15"/>
        <v>Intermediate</v>
      </c>
      <c r="F184" s="25">
        <v>0</v>
      </c>
      <c r="G184" s="17" t="str">
        <f t="shared" si="16"/>
        <v>Resistant</v>
      </c>
      <c r="H184" s="25">
        <v>18</v>
      </c>
      <c r="I184" s="25" t="str">
        <f t="shared" si="17"/>
        <v>Sensitive</v>
      </c>
      <c r="J184" s="25">
        <v>12</v>
      </c>
      <c r="K184" s="25" t="str">
        <f t="shared" si="18"/>
        <v>Resistant</v>
      </c>
      <c r="L184" s="25">
        <v>20</v>
      </c>
      <c r="M184" s="29" t="str">
        <f t="shared" si="19"/>
        <v>Resistant</v>
      </c>
      <c r="N184" s="25">
        <f t="shared" si="20"/>
        <v>3</v>
      </c>
      <c r="O184" s="25" t="str">
        <f t="shared" si="14"/>
        <v>MDR</v>
      </c>
    </row>
    <row r="185" spans="1:15">
      <c r="A185" s="20" t="s">
        <v>258</v>
      </c>
      <c r="B185" s="9" t="s">
        <v>63</v>
      </c>
      <c r="C185" s="21" t="s">
        <v>60</v>
      </c>
      <c r="D185" s="9">
        <v>22</v>
      </c>
      <c r="E185" s="17" t="str">
        <f t="shared" si="15"/>
        <v>Intermediate</v>
      </c>
      <c r="F185" s="9">
        <v>0</v>
      </c>
      <c r="G185" s="17" t="str">
        <f t="shared" si="16"/>
        <v>Resistant</v>
      </c>
      <c r="H185" s="9">
        <v>18</v>
      </c>
      <c r="I185" s="9" t="str">
        <f t="shared" si="17"/>
        <v>Sensitive</v>
      </c>
      <c r="J185" s="9">
        <v>19</v>
      </c>
      <c r="K185" s="9" t="str">
        <f t="shared" si="18"/>
        <v>Sensitive</v>
      </c>
      <c r="L185" s="9">
        <v>25</v>
      </c>
      <c r="M185" s="28" t="str">
        <f t="shared" si="19"/>
        <v>Intermediate</v>
      </c>
      <c r="N185" s="9">
        <f t="shared" si="20"/>
        <v>1</v>
      </c>
      <c r="O185" s="9" t="str">
        <f t="shared" si="14"/>
        <v>Susceptible</v>
      </c>
    </row>
    <row r="186" spans="1:15">
      <c r="A186" s="24" t="s">
        <v>259</v>
      </c>
      <c r="B186" s="25" t="s">
        <v>63</v>
      </c>
      <c r="C186" s="26" t="s">
        <v>60</v>
      </c>
      <c r="D186" s="25">
        <v>24</v>
      </c>
      <c r="E186" s="17" t="str">
        <f t="shared" si="15"/>
        <v>Sensitive</v>
      </c>
      <c r="F186" s="25">
        <v>16</v>
      </c>
      <c r="G186" s="17" t="str">
        <f t="shared" si="16"/>
        <v>Resistant</v>
      </c>
      <c r="H186" s="25">
        <v>14</v>
      </c>
      <c r="I186" s="25" t="str">
        <f t="shared" si="17"/>
        <v>Intermediate</v>
      </c>
      <c r="J186" s="25">
        <v>16</v>
      </c>
      <c r="K186" s="25" t="str">
        <f t="shared" si="18"/>
        <v>Intermediate</v>
      </c>
      <c r="L186" s="25">
        <v>24</v>
      </c>
      <c r="M186" s="29" t="str">
        <f t="shared" si="19"/>
        <v>Intermediate</v>
      </c>
      <c r="N186" s="25">
        <f t="shared" si="20"/>
        <v>1</v>
      </c>
      <c r="O186" s="25" t="str">
        <f t="shared" si="14"/>
        <v>Susceptible</v>
      </c>
    </row>
    <row r="187" spans="1:15">
      <c r="A187" s="20" t="s">
        <v>260</v>
      </c>
      <c r="B187" s="9" t="s">
        <v>63</v>
      </c>
      <c r="C187" s="21" t="s">
        <v>60</v>
      </c>
      <c r="D187" s="9">
        <v>28</v>
      </c>
      <c r="E187" s="17" t="str">
        <f t="shared" si="15"/>
        <v>Sensitive</v>
      </c>
      <c r="F187" s="9">
        <v>10</v>
      </c>
      <c r="G187" s="17" t="str">
        <f t="shared" si="16"/>
        <v>Resistant</v>
      </c>
      <c r="H187" s="9">
        <v>21</v>
      </c>
      <c r="I187" s="9" t="str">
        <f t="shared" si="17"/>
        <v>Sensitive</v>
      </c>
      <c r="J187" s="9">
        <v>18</v>
      </c>
      <c r="K187" s="9" t="str">
        <f t="shared" si="18"/>
        <v>Sensitive</v>
      </c>
      <c r="L187" s="9">
        <v>23</v>
      </c>
      <c r="M187" s="28" t="str">
        <f t="shared" si="19"/>
        <v>Intermediate</v>
      </c>
      <c r="N187" s="9">
        <f t="shared" si="20"/>
        <v>1</v>
      </c>
      <c r="O187" s="9" t="str">
        <f t="shared" si="14"/>
        <v>Susceptible</v>
      </c>
    </row>
    <row r="188" spans="1:15">
      <c r="A188" s="24" t="s">
        <v>261</v>
      </c>
      <c r="B188" s="25" t="s">
        <v>63</v>
      </c>
      <c r="C188" s="26" t="s">
        <v>60</v>
      </c>
      <c r="D188" s="25">
        <v>16</v>
      </c>
      <c r="E188" s="17" t="str">
        <f t="shared" si="15"/>
        <v>Resistant</v>
      </c>
      <c r="F188" s="25">
        <v>0</v>
      </c>
      <c r="G188" s="17" t="str">
        <f t="shared" si="16"/>
        <v>Resistant</v>
      </c>
      <c r="H188" s="25">
        <v>10</v>
      </c>
      <c r="I188" s="25" t="str">
        <f t="shared" si="17"/>
        <v>Resistant</v>
      </c>
      <c r="J188" s="25">
        <v>11</v>
      </c>
      <c r="K188" s="25" t="str">
        <f t="shared" si="18"/>
        <v>Resistant</v>
      </c>
      <c r="L188" s="25">
        <v>9</v>
      </c>
      <c r="M188" s="29" t="str">
        <f t="shared" si="19"/>
        <v>Resistant</v>
      </c>
      <c r="N188" s="25">
        <f t="shared" si="20"/>
        <v>5</v>
      </c>
      <c r="O188" s="25" t="str">
        <f t="shared" si="14"/>
        <v>XDR*</v>
      </c>
    </row>
    <row r="189" spans="1:15">
      <c r="A189" s="20" t="s">
        <v>262</v>
      </c>
      <c r="B189" s="9" t="s">
        <v>63</v>
      </c>
      <c r="C189" s="21" t="s">
        <v>60</v>
      </c>
      <c r="D189" s="9">
        <v>33</v>
      </c>
      <c r="E189" s="17" t="str">
        <f t="shared" si="15"/>
        <v>Sensitive</v>
      </c>
      <c r="F189" s="9">
        <v>0</v>
      </c>
      <c r="G189" s="17" t="str">
        <f t="shared" si="16"/>
        <v>Resistant</v>
      </c>
      <c r="H189" s="9">
        <v>22</v>
      </c>
      <c r="I189" s="9" t="str">
        <f t="shared" si="17"/>
        <v>Sensitive</v>
      </c>
      <c r="J189" s="9">
        <v>15</v>
      </c>
      <c r="K189" s="9" t="str">
        <f t="shared" si="18"/>
        <v>Intermediate</v>
      </c>
      <c r="L189" s="9">
        <v>25</v>
      </c>
      <c r="M189" s="28" t="str">
        <f t="shared" si="19"/>
        <v>Intermediate</v>
      </c>
      <c r="N189" s="9">
        <f t="shared" si="20"/>
        <v>1</v>
      </c>
      <c r="O189" s="9" t="str">
        <f t="shared" si="14"/>
        <v>Susceptible</v>
      </c>
    </row>
    <row r="190" spans="1:15">
      <c r="A190" s="24" t="s">
        <v>263</v>
      </c>
      <c r="B190" s="25" t="s">
        <v>63</v>
      </c>
      <c r="C190" s="26" t="s">
        <v>60</v>
      </c>
      <c r="D190" s="25">
        <v>14</v>
      </c>
      <c r="E190" s="17" t="str">
        <f t="shared" si="15"/>
        <v>Resistant</v>
      </c>
      <c r="F190" s="25">
        <v>0</v>
      </c>
      <c r="G190" s="17" t="str">
        <f t="shared" si="16"/>
        <v>Resistant</v>
      </c>
      <c r="H190" s="25">
        <v>12</v>
      </c>
      <c r="I190" s="25" t="str">
        <f t="shared" si="17"/>
        <v>Resistant</v>
      </c>
      <c r="J190" s="25">
        <v>13</v>
      </c>
      <c r="K190" s="25" t="str">
        <f t="shared" si="18"/>
        <v>Resistant</v>
      </c>
      <c r="L190" s="25">
        <v>0</v>
      </c>
      <c r="M190" s="29" t="str">
        <f t="shared" si="19"/>
        <v>Resistant</v>
      </c>
      <c r="N190" s="25">
        <f t="shared" si="20"/>
        <v>5</v>
      </c>
      <c r="O190" s="25" t="str">
        <f t="shared" si="14"/>
        <v>XDR*</v>
      </c>
    </row>
    <row r="191" spans="1:15">
      <c r="A191" s="20" t="s">
        <v>264</v>
      </c>
      <c r="B191" s="9" t="s">
        <v>63</v>
      </c>
      <c r="C191" s="9" t="s">
        <v>59</v>
      </c>
      <c r="D191" s="9">
        <v>18</v>
      </c>
      <c r="E191" s="17" t="str">
        <f t="shared" si="15"/>
        <v>Resistant</v>
      </c>
      <c r="F191" s="9">
        <v>17</v>
      </c>
      <c r="G191" s="17" t="str">
        <f t="shared" si="16"/>
        <v>Resistant</v>
      </c>
      <c r="H191" s="9">
        <v>16</v>
      </c>
      <c r="I191" s="9" t="str">
        <f t="shared" si="17"/>
        <v>Sensitive</v>
      </c>
      <c r="J191" s="9">
        <v>0</v>
      </c>
      <c r="K191" s="9" t="str">
        <f t="shared" si="18"/>
        <v>Resistant</v>
      </c>
      <c r="L191" s="9">
        <v>22</v>
      </c>
      <c r="M191" s="28" t="str">
        <f t="shared" si="19"/>
        <v>Intermediate</v>
      </c>
      <c r="N191" s="9">
        <f t="shared" si="20"/>
        <v>3</v>
      </c>
      <c r="O191" s="9" t="str">
        <f t="shared" si="14"/>
        <v>MDR</v>
      </c>
    </row>
    <row r="192" spans="1:15">
      <c r="A192" s="24" t="s">
        <v>265</v>
      </c>
      <c r="B192" s="25" t="s">
        <v>63</v>
      </c>
      <c r="C192" s="25" t="s">
        <v>59</v>
      </c>
      <c r="D192" s="25">
        <v>24</v>
      </c>
      <c r="E192" s="17" t="str">
        <f t="shared" si="15"/>
        <v>Sensitive</v>
      </c>
      <c r="F192" s="25">
        <v>0</v>
      </c>
      <c r="G192" s="17" t="str">
        <f t="shared" si="16"/>
        <v>Resistant</v>
      </c>
      <c r="H192" s="25">
        <v>9</v>
      </c>
      <c r="I192" s="25" t="str">
        <f t="shared" si="17"/>
        <v>Resistant</v>
      </c>
      <c r="J192" s="25">
        <v>0</v>
      </c>
      <c r="K192" s="25" t="str">
        <f t="shared" si="18"/>
        <v>Resistant</v>
      </c>
      <c r="L192" s="25">
        <v>0</v>
      </c>
      <c r="M192" s="29" t="str">
        <f t="shared" si="19"/>
        <v>Resistant</v>
      </c>
      <c r="N192" s="25">
        <f t="shared" si="20"/>
        <v>4</v>
      </c>
      <c r="O192" s="25" t="str">
        <f t="shared" si="14"/>
        <v>XDR</v>
      </c>
    </row>
    <row r="193" spans="1:15">
      <c r="A193" s="20" t="s">
        <v>266</v>
      </c>
      <c r="B193" s="9" t="s">
        <v>63</v>
      </c>
      <c r="C193" s="9" t="s">
        <v>59</v>
      </c>
      <c r="D193" s="9">
        <v>24</v>
      </c>
      <c r="E193" s="17" t="str">
        <f t="shared" si="15"/>
        <v>Sensitive</v>
      </c>
      <c r="F193" s="9">
        <v>0</v>
      </c>
      <c r="G193" s="17" t="str">
        <f t="shared" si="16"/>
        <v>Resistant</v>
      </c>
      <c r="H193" s="9">
        <v>8</v>
      </c>
      <c r="I193" s="9" t="str">
        <f t="shared" si="17"/>
        <v>Resistant</v>
      </c>
      <c r="J193" s="9">
        <v>0</v>
      </c>
      <c r="K193" s="9" t="str">
        <f t="shared" si="18"/>
        <v>Resistant</v>
      </c>
      <c r="L193" s="9">
        <v>0</v>
      </c>
      <c r="M193" s="28" t="str">
        <f t="shared" si="19"/>
        <v>Resistant</v>
      </c>
      <c r="N193" s="9">
        <f t="shared" si="20"/>
        <v>4</v>
      </c>
      <c r="O193" s="9" t="str">
        <f t="shared" si="14"/>
        <v>XDR</v>
      </c>
    </row>
    <row r="194" spans="1:15">
      <c r="A194" s="24" t="s">
        <v>267</v>
      </c>
      <c r="B194" s="25" t="s">
        <v>63</v>
      </c>
      <c r="C194" s="25" t="s">
        <v>59</v>
      </c>
      <c r="D194" s="25">
        <v>20</v>
      </c>
      <c r="E194" s="17" t="str">
        <f t="shared" si="15"/>
        <v>Intermediate</v>
      </c>
      <c r="F194" s="25">
        <v>0</v>
      </c>
      <c r="G194" s="17" t="str">
        <f t="shared" si="16"/>
        <v>Resistant</v>
      </c>
      <c r="H194" s="25">
        <v>10</v>
      </c>
      <c r="I194" s="25" t="str">
        <f t="shared" si="17"/>
        <v>Resistant</v>
      </c>
      <c r="J194" s="25">
        <v>0</v>
      </c>
      <c r="K194" s="25" t="str">
        <f t="shared" si="18"/>
        <v>Resistant</v>
      </c>
      <c r="L194" s="25">
        <v>11</v>
      </c>
      <c r="M194" s="29" t="str">
        <f t="shared" si="19"/>
        <v>Resistant</v>
      </c>
      <c r="N194" s="25">
        <f t="shared" si="20"/>
        <v>4</v>
      </c>
      <c r="O194" s="25" t="str">
        <f t="shared" ref="O194:O257" si="21">_xlfn.IFS(N194&lt;=2, "Susceptible",N194=3,"MDR",N194=4, "XDR",N194=5, "XDR*")</f>
        <v>XDR</v>
      </c>
    </row>
    <row r="195" spans="1:15">
      <c r="A195" s="20" t="s">
        <v>268</v>
      </c>
      <c r="B195" s="9" t="s">
        <v>63</v>
      </c>
      <c r="C195" s="9" t="s">
        <v>59</v>
      </c>
      <c r="D195" s="9">
        <v>22</v>
      </c>
      <c r="E195" s="17" t="str">
        <f t="shared" ref="E195:E258" si="22">_xlfn.IFS(D195&lt;=19, "Resistant", D195&lt;=22, "Intermediate", D195&gt;=23, "Sensitive")</f>
        <v>Intermediate</v>
      </c>
      <c r="F195" s="9">
        <v>0</v>
      </c>
      <c r="G195" s="17" t="str">
        <f t="shared" ref="G195:G258" si="23">_xlfn.IFS(F195&lt;=17, "Resistant", F195&lt;=20, "Intermediate", F195&gt;=21, "Sensitive")</f>
        <v>Resistant</v>
      </c>
      <c r="H195" s="9">
        <v>22</v>
      </c>
      <c r="I195" s="9" t="str">
        <f t="shared" ref="I195:I258" si="24">_xlfn.IFS(H195&lt;=12, "Resistant", H195&lt;=14, "Intermediate", H195&gt;=15, "Sensitive")</f>
        <v>Sensitive</v>
      </c>
      <c r="J195" s="9">
        <v>12</v>
      </c>
      <c r="K195" s="9" t="str">
        <f t="shared" ref="K195:K258" si="25">_xlfn.IFS(J195&lt;=13, "Resistant", J195&lt;=17, "Intermediate", J195&gt;=18, "Sensitive")</f>
        <v>Resistant</v>
      </c>
      <c r="L195" s="9">
        <v>10</v>
      </c>
      <c r="M195" s="28" t="str">
        <f t="shared" ref="M195:M258" si="26">_xlfn.IFS(L195&lt;=21, "Resistant", L195&lt;=25, "Intermediate", L195&gt;=26, "Sensitive")</f>
        <v>Resistant</v>
      </c>
      <c r="N195" s="9">
        <f t="shared" ref="N195:N258" si="27">COUNTIF(E195:M195,"Resistant")</f>
        <v>3</v>
      </c>
      <c r="O195" s="9" t="str">
        <f t="shared" si="21"/>
        <v>MDR</v>
      </c>
    </row>
    <row r="196" spans="1:15">
      <c r="A196" s="24" t="s">
        <v>269</v>
      </c>
      <c r="B196" s="25" t="s">
        <v>63</v>
      </c>
      <c r="C196" s="25" t="s">
        <v>59</v>
      </c>
      <c r="D196" s="25">
        <v>23</v>
      </c>
      <c r="E196" s="17" t="str">
        <f t="shared" si="22"/>
        <v>Sensitive</v>
      </c>
      <c r="F196" s="25">
        <v>0</v>
      </c>
      <c r="G196" s="17" t="str">
        <f t="shared" si="23"/>
        <v>Resistant</v>
      </c>
      <c r="H196" s="25">
        <v>16</v>
      </c>
      <c r="I196" s="25" t="str">
        <f t="shared" si="24"/>
        <v>Sensitive</v>
      </c>
      <c r="J196" s="25">
        <v>0</v>
      </c>
      <c r="K196" s="25" t="str">
        <f t="shared" si="25"/>
        <v>Resistant</v>
      </c>
      <c r="L196" s="25">
        <v>25</v>
      </c>
      <c r="M196" s="29" t="str">
        <f t="shared" si="26"/>
        <v>Intermediate</v>
      </c>
      <c r="N196" s="25">
        <f t="shared" si="27"/>
        <v>2</v>
      </c>
      <c r="O196" s="25" t="str">
        <f t="shared" si="21"/>
        <v>Susceptible</v>
      </c>
    </row>
    <row r="197" spans="1:15">
      <c r="A197" s="20" t="s">
        <v>270</v>
      </c>
      <c r="B197" s="9" t="s">
        <v>63</v>
      </c>
      <c r="C197" s="9" t="s">
        <v>59</v>
      </c>
      <c r="D197" s="9">
        <v>21</v>
      </c>
      <c r="E197" s="17" t="str">
        <f t="shared" si="22"/>
        <v>Intermediate</v>
      </c>
      <c r="F197" s="9">
        <v>0</v>
      </c>
      <c r="G197" s="17" t="str">
        <f t="shared" si="23"/>
        <v>Resistant</v>
      </c>
      <c r="H197" s="9">
        <v>20</v>
      </c>
      <c r="I197" s="9" t="str">
        <f t="shared" si="24"/>
        <v>Sensitive</v>
      </c>
      <c r="J197" s="9">
        <v>11</v>
      </c>
      <c r="K197" s="9" t="str">
        <f t="shared" si="25"/>
        <v>Resistant</v>
      </c>
      <c r="L197" s="9">
        <v>25</v>
      </c>
      <c r="M197" s="28" t="str">
        <f t="shared" si="26"/>
        <v>Intermediate</v>
      </c>
      <c r="N197" s="9">
        <f t="shared" si="27"/>
        <v>2</v>
      </c>
      <c r="O197" s="9" t="str">
        <f t="shared" si="21"/>
        <v>Susceptible</v>
      </c>
    </row>
    <row r="198" spans="1:15">
      <c r="A198" s="24" t="s">
        <v>271</v>
      </c>
      <c r="B198" s="25" t="s">
        <v>63</v>
      </c>
      <c r="C198" s="25" t="s">
        <v>59</v>
      </c>
      <c r="D198" s="25">
        <v>22</v>
      </c>
      <c r="E198" s="17" t="str">
        <f t="shared" si="22"/>
        <v>Intermediate</v>
      </c>
      <c r="F198" s="25">
        <v>0</v>
      </c>
      <c r="G198" s="17" t="str">
        <f t="shared" si="23"/>
        <v>Resistant</v>
      </c>
      <c r="H198" s="25">
        <v>21</v>
      </c>
      <c r="I198" s="25" t="str">
        <f t="shared" si="24"/>
        <v>Sensitive</v>
      </c>
      <c r="J198" s="25">
        <v>15</v>
      </c>
      <c r="K198" s="25" t="str">
        <f t="shared" si="25"/>
        <v>Intermediate</v>
      </c>
      <c r="L198" s="25">
        <v>0</v>
      </c>
      <c r="M198" s="29" t="str">
        <f t="shared" si="26"/>
        <v>Resistant</v>
      </c>
      <c r="N198" s="25">
        <f t="shared" si="27"/>
        <v>2</v>
      </c>
      <c r="O198" s="25" t="str">
        <f t="shared" si="21"/>
        <v>Susceptible</v>
      </c>
    </row>
    <row r="199" spans="1:15">
      <c r="A199" s="20" t="s">
        <v>272</v>
      </c>
      <c r="B199" s="9" t="s">
        <v>63</v>
      </c>
      <c r="C199" s="9" t="s">
        <v>59</v>
      </c>
      <c r="D199" s="9">
        <v>24</v>
      </c>
      <c r="E199" s="17" t="str">
        <f t="shared" si="22"/>
        <v>Sensitive</v>
      </c>
      <c r="F199" s="9">
        <v>18</v>
      </c>
      <c r="G199" s="17" t="str">
        <f t="shared" si="23"/>
        <v>Intermediate</v>
      </c>
      <c r="H199" s="9">
        <v>23</v>
      </c>
      <c r="I199" s="9" t="str">
        <f t="shared" si="24"/>
        <v>Sensitive</v>
      </c>
      <c r="J199" s="9">
        <v>23</v>
      </c>
      <c r="K199" s="9" t="str">
        <f t="shared" si="25"/>
        <v>Sensitive</v>
      </c>
      <c r="L199" s="9">
        <v>24</v>
      </c>
      <c r="M199" s="28" t="str">
        <f t="shared" si="26"/>
        <v>Intermediate</v>
      </c>
      <c r="N199" s="9">
        <f t="shared" si="27"/>
        <v>0</v>
      </c>
      <c r="O199" s="9" t="str">
        <f t="shared" si="21"/>
        <v>Susceptible</v>
      </c>
    </row>
    <row r="200" spans="1:15">
      <c r="A200" s="24" t="s">
        <v>273</v>
      </c>
      <c r="B200" s="25" t="s">
        <v>63</v>
      </c>
      <c r="C200" s="25" t="s">
        <v>59</v>
      </c>
      <c r="D200" s="25">
        <v>33</v>
      </c>
      <c r="E200" s="17" t="str">
        <f t="shared" si="22"/>
        <v>Sensitive</v>
      </c>
      <c r="F200" s="25">
        <v>12</v>
      </c>
      <c r="G200" s="17" t="str">
        <f t="shared" si="23"/>
        <v>Resistant</v>
      </c>
      <c r="H200" s="25">
        <v>27</v>
      </c>
      <c r="I200" s="25" t="str">
        <f t="shared" si="24"/>
        <v>Sensitive</v>
      </c>
      <c r="J200" s="25">
        <v>20</v>
      </c>
      <c r="K200" s="25" t="str">
        <f t="shared" si="25"/>
        <v>Sensitive</v>
      </c>
      <c r="L200" s="25">
        <v>28</v>
      </c>
      <c r="M200" s="29" t="str">
        <f t="shared" si="26"/>
        <v>Sensitive</v>
      </c>
      <c r="N200" s="25">
        <f t="shared" si="27"/>
        <v>1</v>
      </c>
      <c r="O200" s="25" t="str">
        <f t="shared" si="21"/>
        <v>Susceptible</v>
      </c>
    </row>
    <row r="201" spans="1:15">
      <c r="A201" s="20" t="s">
        <v>274</v>
      </c>
      <c r="B201" s="9" t="s">
        <v>63</v>
      </c>
      <c r="C201" s="9" t="s">
        <v>59</v>
      </c>
      <c r="D201" s="9">
        <v>20</v>
      </c>
      <c r="E201" s="17" t="str">
        <f t="shared" si="22"/>
        <v>Intermediate</v>
      </c>
      <c r="F201" s="9">
        <v>0</v>
      </c>
      <c r="G201" s="17" t="str">
        <f t="shared" si="23"/>
        <v>Resistant</v>
      </c>
      <c r="H201" s="9">
        <v>19</v>
      </c>
      <c r="I201" s="9" t="str">
        <f t="shared" si="24"/>
        <v>Sensitive</v>
      </c>
      <c r="J201" s="9">
        <v>14</v>
      </c>
      <c r="K201" s="9" t="str">
        <f t="shared" si="25"/>
        <v>Intermediate</v>
      </c>
      <c r="L201" s="9">
        <v>23</v>
      </c>
      <c r="M201" s="28" t="str">
        <f t="shared" si="26"/>
        <v>Intermediate</v>
      </c>
      <c r="N201" s="9">
        <f t="shared" si="27"/>
        <v>1</v>
      </c>
      <c r="O201" s="9" t="str">
        <f t="shared" si="21"/>
        <v>Susceptible</v>
      </c>
    </row>
    <row r="202" spans="1:15">
      <c r="A202" s="24" t="s">
        <v>275</v>
      </c>
      <c r="B202" s="25" t="s">
        <v>63</v>
      </c>
      <c r="C202" s="25" t="s">
        <v>59</v>
      </c>
      <c r="D202" s="25">
        <v>26</v>
      </c>
      <c r="E202" s="17" t="str">
        <f t="shared" si="22"/>
        <v>Sensitive</v>
      </c>
      <c r="F202" s="25">
        <v>0</v>
      </c>
      <c r="G202" s="17" t="str">
        <f t="shared" si="23"/>
        <v>Resistant</v>
      </c>
      <c r="H202" s="25">
        <v>20</v>
      </c>
      <c r="I202" s="25" t="str">
        <f t="shared" si="24"/>
        <v>Sensitive</v>
      </c>
      <c r="J202" s="25">
        <v>12</v>
      </c>
      <c r="K202" s="25" t="str">
        <f t="shared" si="25"/>
        <v>Resistant</v>
      </c>
      <c r="L202" s="25">
        <v>13</v>
      </c>
      <c r="M202" s="29" t="str">
        <f t="shared" si="26"/>
        <v>Resistant</v>
      </c>
      <c r="N202" s="25">
        <f t="shared" si="27"/>
        <v>3</v>
      </c>
      <c r="O202" s="25" t="str">
        <f t="shared" si="21"/>
        <v>MDR</v>
      </c>
    </row>
    <row r="203" spans="1:15">
      <c r="A203" s="20" t="s">
        <v>276</v>
      </c>
      <c r="B203" s="9" t="s">
        <v>63</v>
      </c>
      <c r="C203" s="9" t="s">
        <v>59</v>
      </c>
      <c r="D203" s="9">
        <v>25</v>
      </c>
      <c r="E203" s="17" t="str">
        <f t="shared" si="22"/>
        <v>Sensitive</v>
      </c>
      <c r="F203" s="9">
        <v>0</v>
      </c>
      <c r="G203" s="17" t="str">
        <f t="shared" si="23"/>
        <v>Resistant</v>
      </c>
      <c r="H203" s="9">
        <v>17</v>
      </c>
      <c r="I203" s="9" t="str">
        <f t="shared" si="24"/>
        <v>Sensitive</v>
      </c>
      <c r="J203" s="9">
        <v>12</v>
      </c>
      <c r="K203" s="9" t="str">
        <f t="shared" si="25"/>
        <v>Resistant</v>
      </c>
      <c r="L203" s="9">
        <v>21</v>
      </c>
      <c r="M203" s="28" t="str">
        <f t="shared" si="26"/>
        <v>Resistant</v>
      </c>
      <c r="N203" s="9">
        <f t="shared" si="27"/>
        <v>3</v>
      </c>
      <c r="O203" s="9" t="str">
        <f t="shared" si="21"/>
        <v>MDR</v>
      </c>
    </row>
    <row r="204" spans="1:15">
      <c r="A204" s="24" t="s">
        <v>277</v>
      </c>
      <c r="B204" s="25" t="s">
        <v>63</v>
      </c>
      <c r="C204" s="25" t="s">
        <v>59</v>
      </c>
      <c r="D204" s="25">
        <v>21</v>
      </c>
      <c r="E204" s="17" t="str">
        <f t="shared" si="22"/>
        <v>Intermediate</v>
      </c>
      <c r="F204" s="25">
        <v>0</v>
      </c>
      <c r="G204" s="17" t="str">
        <f t="shared" si="23"/>
        <v>Resistant</v>
      </c>
      <c r="H204" s="25">
        <v>15</v>
      </c>
      <c r="I204" s="25" t="str">
        <f t="shared" si="24"/>
        <v>Sensitive</v>
      </c>
      <c r="J204" s="25">
        <v>11</v>
      </c>
      <c r="K204" s="25" t="str">
        <f t="shared" si="25"/>
        <v>Resistant</v>
      </c>
      <c r="L204" s="25">
        <v>12</v>
      </c>
      <c r="M204" s="29" t="str">
        <f t="shared" si="26"/>
        <v>Resistant</v>
      </c>
      <c r="N204" s="25">
        <f t="shared" si="27"/>
        <v>3</v>
      </c>
      <c r="O204" s="25" t="str">
        <f t="shared" si="21"/>
        <v>MDR</v>
      </c>
    </row>
    <row r="205" spans="1:15">
      <c r="A205" s="20" t="s">
        <v>278</v>
      </c>
      <c r="B205" s="9" t="s">
        <v>63</v>
      </c>
      <c r="C205" s="9" t="s">
        <v>59</v>
      </c>
      <c r="D205" s="9">
        <v>30</v>
      </c>
      <c r="E205" s="17" t="str">
        <f t="shared" si="22"/>
        <v>Sensitive</v>
      </c>
      <c r="F205" s="9">
        <v>0</v>
      </c>
      <c r="G205" s="17" t="str">
        <f t="shared" si="23"/>
        <v>Resistant</v>
      </c>
      <c r="H205" s="9">
        <v>22</v>
      </c>
      <c r="I205" s="9" t="str">
        <f t="shared" si="24"/>
        <v>Sensitive</v>
      </c>
      <c r="J205" s="9">
        <v>13</v>
      </c>
      <c r="K205" s="9" t="str">
        <f t="shared" si="25"/>
        <v>Resistant</v>
      </c>
      <c r="L205" s="9">
        <v>26</v>
      </c>
      <c r="M205" s="28" t="str">
        <f t="shared" si="26"/>
        <v>Sensitive</v>
      </c>
      <c r="N205" s="9">
        <f t="shared" si="27"/>
        <v>2</v>
      </c>
      <c r="O205" s="9" t="str">
        <f t="shared" si="21"/>
        <v>Susceptible</v>
      </c>
    </row>
    <row r="206" spans="1:15">
      <c r="A206" s="24" t="s">
        <v>279</v>
      </c>
      <c r="B206" s="25" t="s">
        <v>63</v>
      </c>
      <c r="C206" s="25" t="s">
        <v>59</v>
      </c>
      <c r="D206" s="25">
        <v>32</v>
      </c>
      <c r="E206" s="17" t="str">
        <f t="shared" si="22"/>
        <v>Sensitive</v>
      </c>
      <c r="F206" s="25">
        <v>0</v>
      </c>
      <c r="G206" s="17" t="str">
        <f t="shared" si="23"/>
        <v>Resistant</v>
      </c>
      <c r="H206" s="25">
        <v>19</v>
      </c>
      <c r="I206" s="25" t="str">
        <f t="shared" si="24"/>
        <v>Sensitive</v>
      </c>
      <c r="J206" s="25">
        <v>0</v>
      </c>
      <c r="K206" s="25" t="str">
        <f t="shared" si="25"/>
        <v>Resistant</v>
      </c>
      <c r="L206" s="25">
        <v>17</v>
      </c>
      <c r="M206" s="29" t="str">
        <f t="shared" si="26"/>
        <v>Resistant</v>
      </c>
      <c r="N206" s="25">
        <f t="shared" si="27"/>
        <v>3</v>
      </c>
      <c r="O206" s="25" t="str">
        <f t="shared" si="21"/>
        <v>MDR</v>
      </c>
    </row>
    <row r="207" spans="1:15">
      <c r="A207" s="20" t="s">
        <v>280</v>
      </c>
      <c r="B207" s="9" t="s">
        <v>63</v>
      </c>
      <c r="C207" s="9" t="s">
        <v>59</v>
      </c>
      <c r="D207" s="9">
        <v>20</v>
      </c>
      <c r="E207" s="17" t="str">
        <f t="shared" si="22"/>
        <v>Intermediate</v>
      </c>
      <c r="F207" s="9">
        <v>0</v>
      </c>
      <c r="G207" s="17" t="str">
        <f t="shared" si="23"/>
        <v>Resistant</v>
      </c>
      <c r="H207" s="9">
        <v>19</v>
      </c>
      <c r="I207" s="9" t="str">
        <f t="shared" si="24"/>
        <v>Sensitive</v>
      </c>
      <c r="J207" s="9">
        <v>11</v>
      </c>
      <c r="K207" s="9" t="str">
        <f t="shared" si="25"/>
        <v>Resistant</v>
      </c>
      <c r="L207" s="9">
        <v>22</v>
      </c>
      <c r="M207" s="28" t="str">
        <f t="shared" si="26"/>
        <v>Intermediate</v>
      </c>
      <c r="N207" s="9">
        <f t="shared" si="27"/>
        <v>2</v>
      </c>
      <c r="O207" s="9" t="str">
        <f t="shared" si="21"/>
        <v>Susceptible</v>
      </c>
    </row>
    <row r="208" spans="1:15">
      <c r="A208" s="24" t="s">
        <v>281</v>
      </c>
      <c r="B208" s="25" t="s">
        <v>63</v>
      </c>
      <c r="C208" s="25" t="s">
        <v>59</v>
      </c>
      <c r="D208" s="25">
        <v>25</v>
      </c>
      <c r="E208" s="17" t="str">
        <f t="shared" si="22"/>
        <v>Sensitive</v>
      </c>
      <c r="F208" s="25">
        <v>0</v>
      </c>
      <c r="G208" s="17" t="str">
        <f t="shared" si="23"/>
        <v>Resistant</v>
      </c>
      <c r="H208" s="25">
        <v>20</v>
      </c>
      <c r="I208" s="25" t="str">
        <f t="shared" si="24"/>
        <v>Sensitive</v>
      </c>
      <c r="J208" s="25">
        <v>7</v>
      </c>
      <c r="K208" s="25" t="str">
        <f t="shared" si="25"/>
        <v>Resistant</v>
      </c>
      <c r="L208" s="25">
        <v>12</v>
      </c>
      <c r="M208" s="29" t="str">
        <f t="shared" si="26"/>
        <v>Resistant</v>
      </c>
      <c r="N208" s="25">
        <f t="shared" si="27"/>
        <v>3</v>
      </c>
      <c r="O208" s="25" t="str">
        <f t="shared" si="21"/>
        <v>MDR</v>
      </c>
    </row>
    <row r="209" spans="1:15">
      <c r="A209" s="20" t="s">
        <v>282</v>
      </c>
      <c r="B209" s="9" t="s">
        <v>63</v>
      </c>
      <c r="C209" s="9" t="s">
        <v>59</v>
      </c>
      <c r="D209" s="9">
        <v>30</v>
      </c>
      <c r="E209" s="17" t="str">
        <f t="shared" si="22"/>
        <v>Sensitive</v>
      </c>
      <c r="F209" s="9">
        <v>0</v>
      </c>
      <c r="G209" s="17" t="str">
        <f t="shared" si="23"/>
        <v>Resistant</v>
      </c>
      <c r="H209" s="9">
        <v>7</v>
      </c>
      <c r="I209" s="9" t="str">
        <f t="shared" si="24"/>
        <v>Resistant</v>
      </c>
      <c r="J209" s="9">
        <v>0</v>
      </c>
      <c r="K209" s="9" t="str">
        <f t="shared" si="25"/>
        <v>Resistant</v>
      </c>
      <c r="L209" s="9">
        <v>10</v>
      </c>
      <c r="M209" s="28" t="str">
        <f t="shared" si="26"/>
        <v>Resistant</v>
      </c>
      <c r="N209" s="9">
        <f t="shared" si="27"/>
        <v>4</v>
      </c>
      <c r="O209" s="9" t="str">
        <f t="shared" si="21"/>
        <v>XDR</v>
      </c>
    </row>
    <row r="210" spans="1:15">
      <c r="A210" s="24" t="s">
        <v>283</v>
      </c>
      <c r="B210" s="25" t="s">
        <v>63</v>
      </c>
      <c r="C210" s="25" t="s">
        <v>59</v>
      </c>
      <c r="D210" s="25">
        <v>20</v>
      </c>
      <c r="E210" s="17" t="str">
        <f t="shared" si="22"/>
        <v>Intermediate</v>
      </c>
      <c r="F210" s="25">
        <v>0</v>
      </c>
      <c r="G210" s="17" t="str">
        <f t="shared" si="23"/>
        <v>Resistant</v>
      </c>
      <c r="H210" s="25">
        <v>21</v>
      </c>
      <c r="I210" s="25" t="str">
        <f t="shared" si="24"/>
        <v>Sensitive</v>
      </c>
      <c r="J210" s="25">
        <v>13</v>
      </c>
      <c r="K210" s="25" t="str">
        <f t="shared" si="25"/>
        <v>Resistant</v>
      </c>
      <c r="L210" s="25">
        <v>11</v>
      </c>
      <c r="M210" s="29" t="str">
        <f t="shared" si="26"/>
        <v>Resistant</v>
      </c>
      <c r="N210" s="25">
        <f t="shared" si="27"/>
        <v>3</v>
      </c>
      <c r="O210" s="25" t="str">
        <f t="shared" si="21"/>
        <v>MDR</v>
      </c>
    </row>
    <row r="211" spans="1:15">
      <c r="A211" s="20" t="s">
        <v>284</v>
      </c>
      <c r="B211" s="9" t="s">
        <v>63</v>
      </c>
      <c r="C211" s="9" t="s">
        <v>59</v>
      </c>
      <c r="D211" s="9">
        <v>22</v>
      </c>
      <c r="E211" s="17" t="str">
        <f t="shared" si="22"/>
        <v>Intermediate</v>
      </c>
      <c r="F211" s="9">
        <v>0</v>
      </c>
      <c r="G211" s="17" t="str">
        <f t="shared" si="23"/>
        <v>Resistant</v>
      </c>
      <c r="H211" s="9">
        <v>21</v>
      </c>
      <c r="I211" s="9" t="str">
        <f t="shared" si="24"/>
        <v>Sensitive</v>
      </c>
      <c r="J211" s="9">
        <v>12</v>
      </c>
      <c r="K211" s="9" t="str">
        <f t="shared" si="25"/>
        <v>Resistant</v>
      </c>
      <c r="L211" s="9">
        <v>23</v>
      </c>
      <c r="M211" s="28" t="str">
        <f t="shared" si="26"/>
        <v>Intermediate</v>
      </c>
      <c r="N211" s="9">
        <f t="shared" si="27"/>
        <v>2</v>
      </c>
      <c r="O211" s="9" t="str">
        <f t="shared" si="21"/>
        <v>Susceptible</v>
      </c>
    </row>
    <row r="212" spans="1:15">
      <c r="A212" s="24" t="s">
        <v>285</v>
      </c>
      <c r="B212" s="25" t="s">
        <v>63</v>
      </c>
      <c r="C212" s="25" t="s">
        <v>59</v>
      </c>
      <c r="D212" s="25">
        <v>21</v>
      </c>
      <c r="E212" s="17" t="str">
        <f t="shared" si="22"/>
        <v>Intermediate</v>
      </c>
      <c r="F212" s="25">
        <v>0</v>
      </c>
      <c r="G212" s="17" t="str">
        <f t="shared" si="23"/>
        <v>Resistant</v>
      </c>
      <c r="H212" s="25">
        <v>9</v>
      </c>
      <c r="I212" s="25" t="str">
        <f t="shared" si="24"/>
        <v>Resistant</v>
      </c>
      <c r="J212" s="25">
        <v>14</v>
      </c>
      <c r="K212" s="25" t="str">
        <f t="shared" si="25"/>
        <v>Intermediate</v>
      </c>
      <c r="L212" s="25">
        <v>0</v>
      </c>
      <c r="M212" s="29" t="str">
        <f t="shared" si="26"/>
        <v>Resistant</v>
      </c>
      <c r="N212" s="25">
        <f t="shared" si="27"/>
        <v>3</v>
      </c>
      <c r="O212" s="25" t="str">
        <f t="shared" si="21"/>
        <v>MDR</v>
      </c>
    </row>
    <row r="213" spans="1:15">
      <c r="A213" s="20" t="s">
        <v>286</v>
      </c>
      <c r="B213" s="9" t="s">
        <v>61</v>
      </c>
      <c r="C213" s="9" t="s">
        <v>58</v>
      </c>
      <c r="D213" s="9">
        <v>20</v>
      </c>
      <c r="E213" s="17" t="str">
        <f t="shared" si="22"/>
        <v>Intermediate</v>
      </c>
      <c r="F213" s="9">
        <v>21</v>
      </c>
      <c r="G213" s="17" t="str">
        <f t="shared" si="23"/>
        <v>Sensitive</v>
      </c>
      <c r="H213" s="9">
        <v>18</v>
      </c>
      <c r="I213" s="9" t="str">
        <f t="shared" si="24"/>
        <v>Sensitive</v>
      </c>
      <c r="J213" s="9">
        <v>11</v>
      </c>
      <c r="K213" s="9" t="str">
        <f t="shared" si="25"/>
        <v>Resistant</v>
      </c>
      <c r="L213" s="9">
        <v>22</v>
      </c>
      <c r="M213" s="28" t="str">
        <f t="shared" si="26"/>
        <v>Intermediate</v>
      </c>
      <c r="N213" s="9">
        <f t="shared" si="27"/>
        <v>1</v>
      </c>
      <c r="O213" s="9" t="str">
        <f t="shared" si="21"/>
        <v>Susceptible</v>
      </c>
    </row>
    <row r="214" spans="1:15">
      <c r="A214" s="24" t="s">
        <v>287</v>
      </c>
      <c r="B214" s="25" t="s">
        <v>61</v>
      </c>
      <c r="C214" s="25" t="s">
        <v>58</v>
      </c>
      <c r="D214" s="25">
        <v>16</v>
      </c>
      <c r="E214" s="17" t="str">
        <f t="shared" si="22"/>
        <v>Resistant</v>
      </c>
      <c r="F214" s="25">
        <v>20</v>
      </c>
      <c r="G214" s="17" t="str">
        <f t="shared" si="23"/>
        <v>Intermediate</v>
      </c>
      <c r="H214" s="25">
        <v>27</v>
      </c>
      <c r="I214" s="25" t="str">
        <f t="shared" si="24"/>
        <v>Sensitive</v>
      </c>
      <c r="J214" s="25">
        <v>19</v>
      </c>
      <c r="K214" s="25" t="str">
        <f t="shared" si="25"/>
        <v>Sensitive</v>
      </c>
      <c r="L214" s="25">
        <v>16</v>
      </c>
      <c r="M214" s="29" t="str">
        <f t="shared" si="26"/>
        <v>Resistant</v>
      </c>
      <c r="N214" s="25">
        <f t="shared" si="27"/>
        <v>2</v>
      </c>
      <c r="O214" s="25" t="str">
        <f t="shared" si="21"/>
        <v>Susceptible</v>
      </c>
    </row>
    <row r="215" spans="1:15">
      <c r="A215" s="20" t="s">
        <v>288</v>
      </c>
      <c r="B215" s="9" t="s">
        <v>61</v>
      </c>
      <c r="C215" s="9" t="s">
        <v>58</v>
      </c>
      <c r="D215" s="9">
        <v>36</v>
      </c>
      <c r="E215" s="17" t="str">
        <f t="shared" si="22"/>
        <v>Sensitive</v>
      </c>
      <c r="F215" s="9">
        <v>10</v>
      </c>
      <c r="G215" s="17" t="str">
        <f t="shared" si="23"/>
        <v>Resistant</v>
      </c>
      <c r="H215" s="9">
        <v>23</v>
      </c>
      <c r="I215" s="9" t="str">
        <f t="shared" si="24"/>
        <v>Sensitive</v>
      </c>
      <c r="J215" s="9">
        <v>20</v>
      </c>
      <c r="K215" s="9" t="str">
        <f t="shared" si="25"/>
        <v>Sensitive</v>
      </c>
      <c r="L215" s="9">
        <v>20</v>
      </c>
      <c r="M215" s="28" t="str">
        <f t="shared" si="26"/>
        <v>Resistant</v>
      </c>
      <c r="N215" s="9">
        <f t="shared" si="27"/>
        <v>2</v>
      </c>
      <c r="O215" s="9" t="str">
        <f t="shared" si="21"/>
        <v>Susceptible</v>
      </c>
    </row>
    <row r="216" spans="1:15">
      <c r="A216" s="24" t="s">
        <v>289</v>
      </c>
      <c r="B216" s="25" t="s">
        <v>61</v>
      </c>
      <c r="C216" s="25" t="s">
        <v>58</v>
      </c>
      <c r="D216" s="25">
        <v>31</v>
      </c>
      <c r="E216" s="17" t="str">
        <f t="shared" si="22"/>
        <v>Sensitive</v>
      </c>
      <c r="F216" s="25">
        <v>9</v>
      </c>
      <c r="G216" s="17" t="str">
        <f t="shared" si="23"/>
        <v>Resistant</v>
      </c>
      <c r="H216" s="25">
        <v>16</v>
      </c>
      <c r="I216" s="25" t="str">
        <f t="shared" si="24"/>
        <v>Sensitive</v>
      </c>
      <c r="J216" s="25">
        <v>11</v>
      </c>
      <c r="K216" s="25" t="str">
        <f t="shared" si="25"/>
        <v>Resistant</v>
      </c>
      <c r="L216" s="25">
        <v>20</v>
      </c>
      <c r="M216" s="29" t="str">
        <f t="shared" si="26"/>
        <v>Resistant</v>
      </c>
      <c r="N216" s="25">
        <f t="shared" si="27"/>
        <v>3</v>
      </c>
      <c r="O216" s="25" t="str">
        <f t="shared" si="21"/>
        <v>MDR</v>
      </c>
    </row>
    <row r="217" spans="1:15">
      <c r="A217" s="20" t="s">
        <v>290</v>
      </c>
      <c r="B217" s="9" t="s">
        <v>61</v>
      </c>
      <c r="C217" s="9" t="s">
        <v>58</v>
      </c>
      <c r="D217" s="9">
        <v>30</v>
      </c>
      <c r="E217" s="17" t="str">
        <f t="shared" si="22"/>
        <v>Sensitive</v>
      </c>
      <c r="F217" s="9">
        <v>20</v>
      </c>
      <c r="G217" s="17" t="str">
        <f t="shared" si="23"/>
        <v>Intermediate</v>
      </c>
      <c r="H217" s="9">
        <v>28</v>
      </c>
      <c r="I217" s="9" t="str">
        <f t="shared" si="24"/>
        <v>Sensitive</v>
      </c>
      <c r="J217" s="9">
        <v>35</v>
      </c>
      <c r="K217" s="9" t="str">
        <f t="shared" si="25"/>
        <v>Sensitive</v>
      </c>
      <c r="L217" s="9">
        <v>15</v>
      </c>
      <c r="M217" s="28" t="str">
        <f t="shared" si="26"/>
        <v>Resistant</v>
      </c>
      <c r="N217" s="9">
        <f t="shared" si="27"/>
        <v>1</v>
      </c>
      <c r="O217" s="9" t="str">
        <f t="shared" si="21"/>
        <v>Susceptible</v>
      </c>
    </row>
    <row r="218" spans="1:15">
      <c r="A218" s="24" t="s">
        <v>291</v>
      </c>
      <c r="B218" s="25" t="s">
        <v>61</v>
      </c>
      <c r="C218" s="25" t="s">
        <v>58</v>
      </c>
      <c r="D218" s="25">
        <v>35</v>
      </c>
      <c r="E218" s="17" t="str">
        <f t="shared" si="22"/>
        <v>Sensitive</v>
      </c>
      <c r="F218" s="25">
        <v>9</v>
      </c>
      <c r="G218" s="17" t="str">
        <f t="shared" si="23"/>
        <v>Resistant</v>
      </c>
      <c r="H218" s="25">
        <v>16</v>
      </c>
      <c r="I218" s="25" t="str">
        <f t="shared" si="24"/>
        <v>Sensitive</v>
      </c>
      <c r="J218" s="25">
        <v>10</v>
      </c>
      <c r="K218" s="25" t="str">
        <f t="shared" si="25"/>
        <v>Resistant</v>
      </c>
      <c r="L218" s="25">
        <v>13</v>
      </c>
      <c r="M218" s="29" t="str">
        <f t="shared" si="26"/>
        <v>Resistant</v>
      </c>
      <c r="N218" s="25">
        <f t="shared" si="27"/>
        <v>3</v>
      </c>
      <c r="O218" s="25" t="str">
        <f t="shared" si="21"/>
        <v>MDR</v>
      </c>
    </row>
    <row r="219" spans="1:15">
      <c r="A219" s="20" t="s">
        <v>292</v>
      </c>
      <c r="B219" s="9" t="s">
        <v>61</v>
      </c>
      <c r="C219" s="9" t="s">
        <v>58</v>
      </c>
      <c r="D219" s="9">
        <v>25</v>
      </c>
      <c r="E219" s="17" t="str">
        <f t="shared" si="22"/>
        <v>Sensitive</v>
      </c>
      <c r="F219" s="9">
        <v>0</v>
      </c>
      <c r="G219" s="17" t="str">
        <f t="shared" si="23"/>
        <v>Resistant</v>
      </c>
      <c r="H219" s="9">
        <v>22</v>
      </c>
      <c r="I219" s="9" t="str">
        <f t="shared" si="24"/>
        <v>Sensitive</v>
      </c>
      <c r="J219" s="9">
        <v>18</v>
      </c>
      <c r="K219" s="9" t="str">
        <f t="shared" si="25"/>
        <v>Sensitive</v>
      </c>
      <c r="L219" s="9">
        <v>18</v>
      </c>
      <c r="M219" s="28" t="str">
        <f t="shared" si="26"/>
        <v>Resistant</v>
      </c>
      <c r="N219" s="9">
        <f t="shared" si="27"/>
        <v>2</v>
      </c>
      <c r="O219" s="9" t="str">
        <f t="shared" si="21"/>
        <v>Susceptible</v>
      </c>
    </row>
    <row r="220" spans="1:15">
      <c r="A220" s="24" t="s">
        <v>293</v>
      </c>
      <c r="B220" s="25" t="s">
        <v>61</v>
      </c>
      <c r="C220" s="25" t="s">
        <v>58</v>
      </c>
      <c r="D220" s="25">
        <v>23</v>
      </c>
      <c r="E220" s="17" t="str">
        <f t="shared" si="22"/>
        <v>Sensitive</v>
      </c>
      <c r="F220" s="25">
        <v>0</v>
      </c>
      <c r="G220" s="17" t="str">
        <f t="shared" si="23"/>
        <v>Resistant</v>
      </c>
      <c r="H220" s="25">
        <v>20</v>
      </c>
      <c r="I220" s="25" t="str">
        <f t="shared" si="24"/>
        <v>Sensitive</v>
      </c>
      <c r="J220" s="25">
        <v>15</v>
      </c>
      <c r="K220" s="25" t="str">
        <f t="shared" si="25"/>
        <v>Intermediate</v>
      </c>
      <c r="L220" s="25">
        <v>23</v>
      </c>
      <c r="M220" s="29" t="str">
        <f t="shared" si="26"/>
        <v>Intermediate</v>
      </c>
      <c r="N220" s="25">
        <f t="shared" si="27"/>
        <v>1</v>
      </c>
      <c r="O220" s="25" t="str">
        <f t="shared" si="21"/>
        <v>Susceptible</v>
      </c>
    </row>
    <row r="221" spans="1:15">
      <c r="A221" s="20" t="s">
        <v>294</v>
      </c>
      <c r="B221" s="9" t="s">
        <v>61</v>
      </c>
      <c r="C221" s="9" t="s">
        <v>58</v>
      </c>
      <c r="D221" s="9">
        <v>22</v>
      </c>
      <c r="E221" s="17" t="str">
        <f t="shared" si="22"/>
        <v>Intermediate</v>
      </c>
      <c r="F221" s="9">
        <v>7</v>
      </c>
      <c r="G221" s="17" t="str">
        <f t="shared" si="23"/>
        <v>Resistant</v>
      </c>
      <c r="H221" s="9">
        <v>17</v>
      </c>
      <c r="I221" s="9" t="str">
        <f t="shared" si="24"/>
        <v>Sensitive</v>
      </c>
      <c r="J221" s="9">
        <v>12</v>
      </c>
      <c r="K221" s="9" t="str">
        <f t="shared" si="25"/>
        <v>Resistant</v>
      </c>
      <c r="L221" s="9">
        <v>18</v>
      </c>
      <c r="M221" s="28" t="str">
        <f t="shared" si="26"/>
        <v>Resistant</v>
      </c>
      <c r="N221" s="9">
        <f t="shared" si="27"/>
        <v>3</v>
      </c>
      <c r="O221" s="9" t="str">
        <f t="shared" si="21"/>
        <v>MDR</v>
      </c>
    </row>
    <row r="222" spans="1:15">
      <c r="A222" s="24" t="s">
        <v>295</v>
      </c>
      <c r="B222" s="25" t="s">
        <v>61</v>
      </c>
      <c r="C222" s="25" t="s">
        <v>58</v>
      </c>
      <c r="D222" s="25">
        <v>24</v>
      </c>
      <c r="E222" s="17" t="str">
        <f t="shared" si="22"/>
        <v>Sensitive</v>
      </c>
      <c r="F222" s="25">
        <v>0</v>
      </c>
      <c r="G222" s="17" t="str">
        <f t="shared" si="23"/>
        <v>Resistant</v>
      </c>
      <c r="H222" s="25">
        <v>16</v>
      </c>
      <c r="I222" s="25" t="str">
        <f t="shared" si="24"/>
        <v>Sensitive</v>
      </c>
      <c r="J222" s="25">
        <v>15</v>
      </c>
      <c r="K222" s="25" t="str">
        <f t="shared" si="25"/>
        <v>Intermediate</v>
      </c>
      <c r="L222" s="25">
        <v>24</v>
      </c>
      <c r="M222" s="29" t="str">
        <f t="shared" si="26"/>
        <v>Intermediate</v>
      </c>
      <c r="N222" s="25">
        <f t="shared" si="27"/>
        <v>1</v>
      </c>
      <c r="O222" s="25" t="str">
        <f t="shared" si="21"/>
        <v>Susceptible</v>
      </c>
    </row>
    <row r="223" spans="1:15">
      <c r="A223" s="20" t="s">
        <v>296</v>
      </c>
      <c r="B223" s="9" t="s">
        <v>61</v>
      </c>
      <c r="C223" s="9" t="s">
        <v>58</v>
      </c>
      <c r="D223" s="9">
        <v>33</v>
      </c>
      <c r="E223" s="17" t="str">
        <f t="shared" si="22"/>
        <v>Sensitive</v>
      </c>
      <c r="F223" s="9">
        <v>7</v>
      </c>
      <c r="G223" s="17" t="str">
        <f t="shared" si="23"/>
        <v>Resistant</v>
      </c>
      <c r="H223" s="9">
        <v>17</v>
      </c>
      <c r="I223" s="9" t="str">
        <f t="shared" si="24"/>
        <v>Sensitive</v>
      </c>
      <c r="J223" s="9">
        <v>11</v>
      </c>
      <c r="K223" s="9" t="str">
        <f t="shared" si="25"/>
        <v>Resistant</v>
      </c>
      <c r="L223" s="9">
        <v>13</v>
      </c>
      <c r="M223" s="28" t="str">
        <f t="shared" si="26"/>
        <v>Resistant</v>
      </c>
      <c r="N223" s="9">
        <f t="shared" si="27"/>
        <v>3</v>
      </c>
      <c r="O223" s="9" t="str">
        <f t="shared" si="21"/>
        <v>MDR</v>
      </c>
    </row>
    <row r="224" spans="1:15">
      <c r="A224" s="24" t="s">
        <v>297</v>
      </c>
      <c r="B224" s="25" t="s">
        <v>61</v>
      </c>
      <c r="C224" s="25" t="s">
        <v>58</v>
      </c>
      <c r="D224" s="25">
        <v>33</v>
      </c>
      <c r="E224" s="17" t="str">
        <f t="shared" si="22"/>
        <v>Sensitive</v>
      </c>
      <c r="F224" s="25">
        <v>21</v>
      </c>
      <c r="G224" s="17" t="str">
        <f t="shared" si="23"/>
        <v>Sensitive</v>
      </c>
      <c r="H224" s="25">
        <v>19</v>
      </c>
      <c r="I224" s="25" t="str">
        <f t="shared" si="24"/>
        <v>Sensitive</v>
      </c>
      <c r="J224" s="25">
        <v>21</v>
      </c>
      <c r="K224" s="25" t="str">
        <f t="shared" si="25"/>
        <v>Sensitive</v>
      </c>
      <c r="L224" s="25">
        <v>25</v>
      </c>
      <c r="M224" s="29" t="str">
        <f t="shared" si="26"/>
        <v>Intermediate</v>
      </c>
      <c r="N224" s="25">
        <f t="shared" si="27"/>
        <v>0</v>
      </c>
      <c r="O224" s="25" t="str">
        <f t="shared" si="21"/>
        <v>Susceptible</v>
      </c>
    </row>
    <row r="225" spans="1:15">
      <c r="A225" s="20" t="s">
        <v>298</v>
      </c>
      <c r="B225" s="9" t="s">
        <v>61</v>
      </c>
      <c r="C225" s="9" t="s">
        <v>58</v>
      </c>
      <c r="D225" s="9">
        <v>30</v>
      </c>
      <c r="E225" s="17" t="str">
        <f t="shared" si="22"/>
        <v>Sensitive</v>
      </c>
      <c r="F225" s="9">
        <v>20</v>
      </c>
      <c r="G225" s="17" t="str">
        <f t="shared" si="23"/>
        <v>Intermediate</v>
      </c>
      <c r="H225" s="9">
        <v>18</v>
      </c>
      <c r="I225" s="9" t="str">
        <f t="shared" si="24"/>
        <v>Sensitive</v>
      </c>
      <c r="J225" s="9">
        <v>19</v>
      </c>
      <c r="K225" s="9" t="str">
        <f t="shared" si="25"/>
        <v>Sensitive</v>
      </c>
      <c r="L225" s="9">
        <v>26</v>
      </c>
      <c r="M225" s="28" t="str">
        <f t="shared" si="26"/>
        <v>Sensitive</v>
      </c>
      <c r="N225" s="9">
        <f t="shared" si="27"/>
        <v>0</v>
      </c>
      <c r="O225" s="9" t="str">
        <f t="shared" si="21"/>
        <v>Susceptible</v>
      </c>
    </row>
    <row r="226" spans="1:15">
      <c r="A226" s="24" t="s">
        <v>299</v>
      </c>
      <c r="B226" s="25" t="s">
        <v>61</v>
      </c>
      <c r="C226" s="25" t="s">
        <v>58</v>
      </c>
      <c r="D226" s="25">
        <v>36</v>
      </c>
      <c r="E226" s="17" t="str">
        <f t="shared" si="22"/>
        <v>Sensitive</v>
      </c>
      <c r="F226" s="25">
        <v>12</v>
      </c>
      <c r="G226" s="17" t="str">
        <f t="shared" si="23"/>
        <v>Resistant</v>
      </c>
      <c r="H226" s="25">
        <v>21</v>
      </c>
      <c r="I226" s="25" t="str">
        <f t="shared" si="24"/>
        <v>Sensitive</v>
      </c>
      <c r="J226" s="25">
        <v>20</v>
      </c>
      <c r="K226" s="25" t="str">
        <f t="shared" si="25"/>
        <v>Sensitive</v>
      </c>
      <c r="L226" s="25">
        <v>19</v>
      </c>
      <c r="M226" s="29" t="str">
        <f t="shared" si="26"/>
        <v>Resistant</v>
      </c>
      <c r="N226" s="25">
        <f t="shared" si="27"/>
        <v>2</v>
      </c>
      <c r="O226" s="25" t="str">
        <f t="shared" si="21"/>
        <v>Susceptible</v>
      </c>
    </row>
    <row r="227" spans="1:15">
      <c r="A227" s="20" t="s">
        <v>300</v>
      </c>
      <c r="B227" s="9" t="s">
        <v>61</v>
      </c>
      <c r="C227" s="9" t="s">
        <v>58</v>
      </c>
      <c r="D227" s="9">
        <v>37</v>
      </c>
      <c r="E227" s="17" t="str">
        <f t="shared" si="22"/>
        <v>Sensitive</v>
      </c>
      <c r="F227" s="9">
        <v>25</v>
      </c>
      <c r="G227" s="17" t="str">
        <f t="shared" si="23"/>
        <v>Sensitive</v>
      </c>
      <c r="H227" s="9">
        <v>24</v>
      </c>
      <c r="I227" s="9" t="str">
        <f t="shared" si="24"/>
        <v>Sensitive</v>
      </c>
      <c r="J227" s="9">
        <v>31</v>
      </c>
      <c r="K227" s="9" t="str">
        <f t="shared" si="25"/>
        <v>Sensitive</v>
      </c>
      <c r="L227" s="9">
        <v>30</v>
      </c>
      <c r="M227" s="28" t="str">
        <f t="shared" si="26"/>
        <v>Sensitive</v>
      </c>
      <c r="N227" s="9">
        <f t="shared" si="27"/>
        <v>0</v>
      </c>
      <c r="O227" s="9" t="str">
        <f t="shared" si="21"/>
        <v>Susceptible</v>
      </c>
    </row>
    <row r="228" spans="1:15">
      <c r="A228" s="24" t="s">
        <v>301</v>
      </c>
      <c r="B228" s="25" t="s">
        <v>61</v>
      </c>
      <c r="C228" s="25" t="s">
        <v>58</v>
      </c>
      <c r="D228" s="25">
        <v>34</v>
      </c>
      <c r="E228" s="17" t="str">
        <f t="shared" si="22"/>
        <v>Sensitive</v>
      </c>
      <c r="F228" s="25">
        <v>15</v>
      </c>
      <c r="G228" s="17" t="str">
        <f t="shared" si="23"/>
        <v>Resistant</v>
      </c>
      <c r="H228" s="25">
        <v>20</v>
      </c>
      <c r="I228" s="25" t="str">
        <f t="shared" si="24"/>
        <v>Sensitive</v>
      </c>
      <c r="J228" s="25">
        <v>18</v>
      </c>
      <c r="K228" s="25" t="str">
        <f t="shared" si="25"/>
        <v>Sensitive</v>
      </c>
      <c r="L228" s="25">
        <v>22</v>
      </c>
      <c r="M228" s="29" t="str">
        <f t="shared" si="26"/>
        <v>Intermediate</v>
      </c>
      <c r="N228" s="25">
        <f t="shared" si="27"/>
        <v>1</v>
      </c>
      <c r="O228" s="25" t="str">
        <f t="shared" si="21"/>
        <v>Susceptible</v>
      </c>
    </row>
    <row r="229" spans="1:15">
      <c r="A229" s="20" t="s">
        <v>302</v>
      </c>
      <c r="B229" s="9" t="s">
        <v>61</v>
      </c>
      <c r="C229" s="9" t="s">
        <v>58</v>
      </c>
      <c r="D229" s="9">
        <v>30</v>
      </c>
      <c r="E229" s="17" t="str">
        <f t="shared" si="22"/>
        <v>Sensitive</v>
      </c>
      <c r="F229" s="9">
        <v>19</v>
      </c>
      <c r="G229" s="17" t="str">
        <f t="shared" si="23"/>
        <v>Intermediate</v>
      </c>
      <c r="H229" s="9">
        <v>20</v>
      </c>
      <c r="I229" s="9" t="str">
        <f t="shared" si="24"/>
        <v>Sensitive</v>
      </c>
      <c r="J229" s="9">
        <v>18</v>
      </c>
      <c r="K229" s="9" t="str">
        <f t="shared" si="25"/>
        <v>Sensitive</v>
      </c>
      <c r="L229" s="9">
        <v>22</v>
      </c>
      <c r="M229" s="28" t="str">
        <f t="shared" si="26"/>
        <v>Intermediate</v>
      </c>
      <c r="N229" s="9">
        <f t="shared" si="27"/>
        <v>0</v>
      </c>
      <c r="O229" s="9" t="str">
        <f t="shared" si="21"/>
        <v>Susceptible</v>
      </c>
    </row>
    <row r="230" spans="1:15">
      <c r="A230" s="24" t="s">
        <v>303</v>
      </c>
      <c r="B230" s="25" t="s">
        <v>61</v>
      </c>
      <c r="C230" s="25" t="s">
        <v>58</v>
      </c>
      <c r="D230" s="25">
        <v>37</v>
      </c>
      <c r="E230" s="17" t="str">
        <f t="shared" si="22"/>
        <v>Sensitive</v>
      </c>
      <c r="F230" s="25">
        <v>10</v>
      </c>
      <c r="G230" s="17" t="str">
        <f t="shared" si="23"/>
        <v>Resistant</v>
      </c>
      <c r="H230" s="25">
        <v>12</v>
      </c>
      <c r="I230" s="25" t="str">
        <f t="shared" si="24"/>
        <v>Resistant</v>
      </c>
      <c r="J230" s="25">
        <v>9</v>
      </c>
      <c r="K230" s="25" t="str">
        <f t="shared" si="25"/>
        <v>Resistant</v>
      </c>
      <c r="L230" s="25">
        <v>13</v>
      </c>
      <c r="M230" s="29" t="str">
        <f t="shared" si="26"/>
        <v>Resistant</v>
      </c>
      <c r="N230" s="25">
        <f t="shared" si="27"/>
        <v>4</v>
      </c>
      <c r="O230" s="25" t="str">
        <f t="shared" si="21"/>
        <v>XDR</v>
      </c>
    </row>
    <row r="231" spans="1:15">
      <c r="A231" s="20" t="s">
        <v>304</v>
      </c>
      <c r="B231" s="9" t="s">
        <v>61</v>
      </c>
      <c r="C231" s="9" t="s">
        <v>58</v>
      </c>
      <c r="D231" s="9">
        <v>30</v>
      </c>
      <c r="E231" s="17" t="str">
        <f t="shared" si="22"/>
        <v>Sensitive</v>
      </c>
      <c r="F231" s="9">
        <v>17</v>
      </c>
      <c r="G231" s="17" t="str">
        <f t="shared" si="23"/>
        <v>Resistant</v>
      </c>
      <c r="H231" s="9">
        <v>20</v>
      </c>
      <c r="I231" s="9" t="str">
        <f t="shared" si="24"/>
        <v>Sensitive</v>
      </c>
      <c r="J231" s="9">
        <v>25</v>
      </c>
      <c r="K231" s="9" t="str">
        <f t="shared" si="25"/>
        <v>Sensitive</v>
      </c>
      <c r="L231" s="9">
        <v>24</v>
      </c>
      <c r="M231" s="28" t="str">
        <f t="shared" si="26"/>
        <v>Intermediate</v>
      </c>
      <c r="N231" s="9">
        <f t="shared" si="27"/>
        <v>1</v>
      </c>
      <c r="O231" s="9" t="str">
        <f t="shared" si="21"/>
        <v>Susceptible</v>
      </c>
    </row>
    <row r="232" spans="1:15">
      <c r="A232" s="24" t="s">
        <v>305</v>
      </c>
      <c r="B232" s="25" t="s">
        <v>61</v>
      </c>
      <c r="C232" s="25" t="s">
        <v>58</v>
      </c>
      <c r="D232" s="25">
        <v>31</v>
      </c>
      <c r="E232" s="17" t="str">
        <f t="shared" si="22"/>
        <v>Sensitive</v>
      </c>
      <c r="F232" s="25">
        <v>17</v>
      </c>
      <c r="G232" s="17" t="str">
        <f t="shared" si="23"/>
        <v>Resistant</v>
      </c>
      <c r="H232" s="25">
        <v>20</v>
      </c>
      <c r="I232" s="25" t="str">
        <f t="shared" si="24"/>
        <v>Sensitive</v>
      </c>
      <c r="J232" s="25">
        <v>9</v>
      </c>
      <c r="K232" s="25" t="str">
        <f t="shared" si="25"/>
        <v>Resistant</v>
      </c>
      <c r="L232" s="25">
        <v>23</v>
      </c>
      <c r="M232" s="29" t="str">
        <f t="shared" si="26"/>
        <v>Intermediate</v>
      </c>
      <c r="N232" s="25">
        <f t="shared" si="27"/>
        <v>2</v>
      </c>
      <c r="O232" s="25" t="str">
        <f t="shared" si="21"/>
        <v>Susceptible</v>
      </c>
    </row>
    <row r="233" spans="1:15">
      <c r="A233" s="20" t="s">
        <v>306</v>
      </c>
      <c r="B233" s="9" t="s">
        <v>61</v>
      </c>
      <c r="C233" s="9" t="s">
        <v>58</v>
      </c>
      <c r="D233" s="9">
        <v>25</v>
      </c>
      <c r="E233" s="17" t="str">
        <f t="shared" si="22"/>
        <v>Sensitive</v>
      </c>
      <c r="F233" s="9">
        <v>0</v>
      </c>
      <c r="G233" s="17" t="str">
        <f t="shared" si="23"/>
        <v>Resistant</v>
      </c>
      <c r="H233" s="9">
        <v>18</v>
      </c>
      <c r="I233" s="9" t="str">
        <f t="shared" si="24"/>
        <v>Sensitive</v>
      </c>
      <c r="J233" s="9">
        <v>15</v>
      </c>
      <c r="K233" s="9" t="str">
        <f t="shared" si="25"/>
        <v>Intermediate</v>
      </c>
      <c r="L233" s="9">
        <v>24</v>
      </c>
      <c r="M233" s="28" t="str">
        <f t="shared" si="26"/>
        <v>Intermediate</v>
      </c>
      <c r="N233" s="9">
        <f t="shared" si="27"/>
        <v>1</v>
      </c>
      <c r="O233" s="9" t="str">
        <f t="shared" si="21"/>
        <v>Susceptible</v>
      </c>
    </row>
    <row r="234" spans="1:15">
      <c r="A234" s="24" t="s">
        <v>307</v>
      </c>
      <c r="B234" s="25" t="s">
        <v>61</v>
      </c>
      <c r="C234" s="25" t="s">
        <v>60</v>
      </c>
      <c r="D234" s="25">
        <v>28</v>
      </c>
      <c r="E234" s="17" t="str">
        <f t="shared" si="22"/>
        <v>Sensitive</v>
      </c>
      <c r="F234" s="25">
        <v>0</v>
      </c>
      <c r="G234" s="17" t="str">
        <f t="shared" si="23"/>
        <v>Resistant</v>
      </c>
      <c r="H234" s="25">
        <v>0</v>
      </c>
      <c r="I234" s="25" t="str">
        <f t="shared" si="24"/>
        <v>Resistant</v>
      </c>
      <c r="J234" s="25">
        <v>10</v>
      </c>
      <c r="K234" s="25" t="str">
        <f t="shared" si="25"/>
        <v>Resistant</v>
      </c>
      <c r="L234" s="25">
        <v>20</v>
      </c>
      <c r="M234" s="29" t="str">
        <f t="shared" si="26"/>
        <v>Resistant</v>
      </c>
      <c r="N234" s="25">
        <f t="shared" si="27"/>
        <v>4</v>
      </c>
      <c r="O234" s="25" t="str">
        <f t="shared" si="21"/>
        <v>XDR</v>
      </c>
    </row>
    <row r="235" spans="1:15">
      <c r="A235" s="20" t="s">
        <v>308</v>
      </c>
      <c r="B235" s="9" t="s">
        <v>61</v>
      </c>
      <c r="C235" s="9" t="s">
        <v>60</v>
      </c>
      <c r="D235" s="9">
        <v>25</v>
      </c>
      <c r="E235" s="17" t="str">
        <f t="shared" si="22"/>
        <v>Sensitive</v>
      </c>
      <c r="F235" s="9">
        <v>20</v>
      </c>
      <c r="G235" s="17" t="str">
        <f t="shared" si="23"/>
        <v>Intermediate</v>
      </c>
      <c r="H235" s="9">
        <v>0</v>
      </c>
      <c r="I235" s="9" t="str">
        <f t="shared" si="24"/>
        <v>Resistant</v>
      </c>
      <c r="J235" s="9">
        <v>10</v>
      </c>
      <c r="K235" s="9" t="str">
        <f t="shared" si="25"/>
        <v>Resistant</v>
      </c>
      <c r="L235" s="9">
        <v>20</v>
      </c>
      <c r="M235" s="28" t="str">
        <f t="shared" si="26"/>
        <v>Resistant</v>
      </c>
      <c r="N235" s="9">
        <f t="shared" si="27"/>
        <v>3</v>
      </c>
      <c r="O235" s="9" t="str">
        <f t="shared" si="21"/>
        <v>MDR</v>
      </c>
    </row>
    <row r="236" spans="1:15">
      <c r="A236" s="24" t="s">
        <v>309</v>
      </c>
      <c r="B236" s="25" t="s">
        <v>61</v>
      </c>
      <c r="C236" s="25" t="s">
        <v>60</v>
      </c>
      <c r="D236" s="25">
        <v>32</v>
      </c>
      <c r="E236" s="17" t="str">
        <f t="shared" si="22"/>
        <v>Sensitive</v>
      </c>
      <c r="F236" s="25">
        <v>0</v>
      </c>
      <c r="G236" s="17" t="str">
        <f t="shared" si="23"/>
        <v>Resistant</v>
      </c>
      <c r="H236" s="25">
        <v>15</v>
      </c>
      <c r="I236" s="25" t="str">
        <f t="shared" si="24"/>
        <v>Sensitive</v>
      </c>
      <c r="J236" s="25">
        <v>10</v>
      </c>
      <c r="K236" s="25" t="str">
        <f t="shared" si="25"/>
        <v>Resistant</v>
      </c>
      <c r="L236" s="25">
        <v>20</v>
      </c>
      <c r="M236" s="29" t="str">
        <f t="shared" si="26"/>
        <v>Resistant</v>
      </c>
      <c r="N236" s="25">
        <f t="shared" si="27"/>
        <v>3</v>
      </c>
      <c r="O236" s="25" t="str">
        <f t="shared" si="21"/>
        <v>MDR</v>
      </c>
    </row>
    <row r="237" spans="1:15">
      <c r="A237" s="20" t="s">
        <v>310</v>
      </c>
      <c r="B237" s="9" t="s">
        <v>61</v>
      </c>
      <c r="C237" s="9" t="s">
        <v>60</v>
      </c>
      <c r="D237" s="9">
        <v>24</v>
      </c>
      <c r="E237" s="17" t="str">
        <f t="shared" si="22"/>
        <v>Sensitive</v>
      </c>
      <c r="F237" s="9">
        <v>18</v>
      </c>
      <c r="G237" s="17" t="str">
        <f t="shared" si="23"/>
        <v>Intermediate</v>
      </c>
      <c r="H237" s="9">
        <v>20</v>
      </c>
      <c r="I237" s="9" t="str">
        <f t="shared" si="24"/>
        <v>Sensitive</v>
      </c>
      <c r="J237" s="9">
        <v>0</v>
      </c>
      <c r="K237" s="9" t="str">
        <f t="shared" si="25"/>
        <v>Resistant</v>
      </c>
      <c r="L237" s="9">
        <v>25</v>
      </c>
      <c r="M237" s="28" t="str">
        <f t="shared" si="26"/>
        <v>Intermediate</v>
      </c>
      <c r="N237" s="9">
        <f t="shared" si="27"/>
        <v>1</v>
      </c>
      <c r="O237" s="9" t="str">
        <f t="shared" si="21"/>
        <v>Susceptible</v>
      </c>
    </row>
    <row r="238" spans="1:15">
      <c r="A238" s="24" t="s">
        <v>311</v>
      </c>
      <c r="B238" s="25" t="s">
        <v>61</v>
      </c>
      <c r="C238" s="25" t="s">
        <v>60</v>
      </c>
      <c r="D238" s="25">
        <v>28</v>
      </c>
      <c r="E238" s="17" t="str">
        <f t="shared" si="22"/>
        <v>Sensitive</v>
      </c>
      <c r="F238" s="25">
        <v>20</v>
      </c>
      <c r="G238" s="17" t="str">
        <f t="shared" si="23"/>
        <v>Intermediate</v>
      </c>
      <c r="H238" s="25">
        <v>7</v>
      </c>
      <c r="I238" s="25" t="str">
        <f t="shared" si="24"/>
        <v>Resistant</v>
      </c>
      <c r="J238" s="25">
        <v>10</v>
      </c>
      <c r="K238" s="25" t="str">
        <f t="shared" si="25"/>
        <v>Resistant</v>
      </c>
      <c r="L238" s="25">
        <v>0</v>
      </c>
      <c r="M238" s="29" t="str">
        <f t="shared" si="26"/>
        <v>Resistant</v>
      </c>
      <c r="N238" s="25">
        <f t="shared" si="27"/>
        <v>3</v>
      </c>
      <c r="O238" s="25" t="str">
        <f t="shared" si="21"/>
        <v>MDR</v>
      </c>
    </row>
    <row r="239" spans="1:15">
      <c r="A239" s="20" t="s">
        <v>312</v>
      </c>
      <c r="B239" s="9" t="s">
        <v>61</v>
      </c>
      <c r="C239" s="9" t="s">
        <v>60</v>
      </c>
      <c r="D239" s="9">
        <v>25</v>
      </c>
      <c r="E239" s="17" t="str">
        <f t="shared" si="22"/>
        <v>Sensitive</v>
      </c>
      <c r="F239" s="9">
        <v>0</v>
      </c>
      <c r="G239" s="17" t="str">
        <f t="shared" si="23"/>
        <v>Resistant</v>
      </c>
      <c r="H239" s="9">
        <v>15</v>
      </c>
      <c r="I239" s="9" t="str">
        <f t="shared" si="24"/>
        <v>Sensitive</v>
      </c>
      <c r="J239" s="9">
        <v>10</v>
      </c>
      <c r="K239" s="9" t="str">
        <f t="shared" si="25"/>
        <v>Resistant</v>
      </c>
      <c r="L239" s="9">
        <v>20</v>
      </c>
      <c r="M239" s="28" t="str">
        <f t="shared" si="26"/>
        <v>Resistant</v>
      </c>
      <c r="N239" s="9">
        <f t="shared" si="27"/>
        <v>3</v>
      </c>
      <c r="O239" s="9" t="str">
        <f t="shared" si="21"/>
        <v>MDR</v>
      </c>
    </row>
    <row r="240" spans="1:15">
      <c r="A240" s="24" t="s">
        <v>313</v>
      </c>
      <c r="B240" s="25" t="s">
        <v>61</v>
      </c>
      <c r="C240" s="25" t="s">
        <v>60</v>
      </c>
      <c r="D240" s="25">
        <v>25</v>
      </c>
      <c r="E240" s="17" t="str">
        <f t="shared" si="22"/>
        <v>Sensitive</v>
      </c>
      <c r="F240" s="25">
        <v>0</v>
      </c>
      <c r="G240" s="17" t="str">
        <f t="shared" si="23"/>
        <v>Resistant</v>
      </c>
      <c r="H240" s="25">
        <v>20</v>
      </c>
      <c r="I240" s="25" t="str">
        <f t="shared" si="24"/>
        <v>Sensitive</v>
      </c>
      <c r="J240" s="25">
        <v>15</v>
      </c>
      <c r="K240" s="25" t="str">
        <f t="shared" si="25"/>
        <v>Intermediate</v>
      </c>
      <c r="L240" s="25">
        <v>20</v>
      </c>
      <c r="M240" s="29" t="str">
        <f t="shared" si="26"/>
        <v>Resistant</v>
      </c>
      <c r="N240" s="25">
        <f t="shared" si="27"/>
        <v>2</v>
      </c>
      <c r="O240" s="25" t="str">
        <f t="shared" si="21"/>
        <v>Susceptible</v>
      </c>
    </row>
    <row r="241" spans="1:15">
      <c r="A241" s="20" t="s">
        <v>314</v>
      </c>
      <c r="B241" s="9" t="s">
        <v>61</v>
      </c>
      <c r="C241" s="9" t="s">
        <v>60</v>
      </c>
      <c r="D241" s="9">
        <v>25</v>
      </c>
      <c r="E241" s="17" t="str">
        <f t="shared" si="22"/>
        <v>Sensitive</v>
      </c>
      <c r="F241" s="9">
        <v>0</v>
      </c>
      <c r="G241" s="17" t="str">
        <f t="shared" si="23"/>
        <v>Resistant</v>
      </c>
      <c r="H241" s="9">
        <v>20</v>
      </c>
      <c r="I241" s="9" t="str">
        <f t="shared" si="24"/>
        <v>Sensitive</v>
      </c>
      <c r="J241" s="9">
        <v>10</v>
      </c>
      <c r="K241" s="9" t="str">
        <f t="shared" si="25"/>
        <v>Resistant</v>
      </c>
      <c r="L241" s="9">
        <v>0</v>
      </c>
      <c r="M241" s="28" t="str">
        <f t="shared" si="26"/>
        <v>Resistant</v>
      </c>
      <c r="N241" s="9">
        <f t="shared" si="27"/>
        <v>3</v>
      </c>
      <c r="O241" s="9" t="str">
        <f t="shared" si="21"/>
        <v>MDR</v>
      </c>
    </row>
    <row r="242" spans="1:15">
      <c r="A242" s="24" t="s">
        <v>315</v>
      </c>
      <c r="B242" s="25" t="s">
        <v>61</v>
      </c>
      <c r="C242" s="25" t="s">
        <v>60</v>
      </c>
      <c r="D242" s="25">
        <v>25</v>
      </c>
      <c r="E242" s="17" t="str">
        <f t="shared" si="22"/>
        <v>Sensitive</v>
      </c>
      <c r="F242" s="25">
        <v>12</v>
      </c>
      <c r="G242" s="17" t="str">
        <f t="shared" si="23"/>
        <v>Resistant</v>
      </c>
      <c r="H242" s="25">
        <v>9</v>
      </c>
      <c r="I242" s="25" t="str">
        <f t="shared" si="24"/>
        <v>Resistant</v>
      </c>
      <c r="J242" s="25">
        <v>0</v>
      </c>
      <c r="K242" s="25" t="str">
        <f t="shared" si="25"/>
        <v>Resistant</v>
      </c>
      <c r="L242" s="25">
        <v>0</v>
      </c>
      <c r="M242" s="29" t="str">
        <f t="shared" si="26"/>
        <v>Resistant</v>
      </c>
      <c r="N242" s="25">
        <f t="shared" si="27"/>
        <v>4</v>
      </c>
      <c r="O242" s="25" t="str">
        <f t="shared" si="21"/>
        <v>XDR</v>
      </c>
    </row>
    <row r="243" spans="1:15">
      <c r="A243" s="20" t="s">
        <v>316</v>
      </c>
      <c r="B243" s="9" t="s">
        <v>61</v>
      </c>
      <c r="C243" s="9" t="s">
        <v>60</v>
      </c>
      <c r="D243" s="9">
        <v>25</v>
      </c>
      <c r="E243" s="17" t="str">
        <f t="shared" si="22"/>
        <v>Sensitive</v>
      </c>
      <c r="F243" s="9">
        <v>20</v>
      </c>
      <c r="G243" s="17" t="str">
        <f t="shared" si="23"/>
        <v>Intermediate</v>
      </c>
      <c r="H243" s="9">
        <v>15</v>
      </c>
      <c r="I243" s="9" t="str">
        <f t="shared" si="24"/>
        <v>Sensitive</v>
      </c>
      <c r="J243" s="9">
        <v>7</v>
      </c>
      <c r="K243" s="9" t="str">
        <f t="shared" si="25"/>
        <v>Resistant</v>
      </c>
      <c r="L243" s="9">
        <v>20</v>
      </c>
      <c r="M243" s="28" t="str">
        <f t="shared" si="26"/>
        <v>Resistant</v>
      </c>
      <c r="N243" s="9">
        <f t="shared" si="27"/>
        <v>2</v>
      </c>
      <c r="O243" s="9" t="str">
        <f t="shared" si="21"/>
        <v>Susceptible</v>
      </c>
    </row>
    <row r="244" spans="1:15">
      <c r="A244" s="24" t="s">
        <v>317</v>
      </c>
      <c r="B244" s="25" t="s">
        <v>61</v>
      </c>
      <c r="C244" s="25" t="s">
        <v>60</v>
      </c>
      <c r="D244" s="25">
        <v>25</v>
      </c>
      <c r="E244" s="17" t="str">
        <f t="shared" si="22"/>
        <v>Sensitive</v>
      </c>
      <c r="F244" s="25">
        <v>0</v>
      </c>
      <c r="G244" s="17" t="str">
        <f t="shared" si="23"/>
        <v>Resistant</v>
      </c>
      <c r="H244" s="25">
        <v>20</v>
      </c>
      <c r="I244" s="25" t="str">
        <f t="shared" si="24"/>
        <v>Sensitive</v>
      </c>
      <c r="J244" s="25">
        <v>20</v>
      </c>
      <c r="K244" s="25" t="str">
        <f t="shared" si="25"/>
        <v>Sensitive</v>
      </c>
      <c r="L244" s="25">
        <v>20</v>
      </c>
      <c r="M244" s="29" t="str">
        <f t="shared" si="26"/>
        <v>Resistant</v>
      </c>
      <c r="N244" s="25">
        <f t="shared" si="27"/>
        <v>2</v>
      </c>
      <c r="O244" s="25" t="str">
        <f t="shared" si="21"/>
        <v>Susceptible</v>
      </c>
    </row>
    <row r="245" spans="1:15">
      <c r="A245" s="20" t="s">
        <v>318</v>
      </c>
      <c r="B245" s="9" t="s">
        <v>61</v>
      </c>
      <c r="C245" s="9" t="s">
        <v>60</v>
      </c>
      <c r="D245" s="9">
        <v>20</v>
      </c>
      <c r="E245" s="17" t="str">
        <f t="shared" si="22"/>
        <v>Intermediate</v>
      </c>
      <c r="F245" s="9">
        <v>0</v>
      </c>
      <c r="G245" s="17" t="str">
        <f t="shared" si="23"/>
        <v>Resistant</v>
      </c>
      <c r="H245" s="9">
        <v>25</v>
      </c>
      <c r="I245" s="9" t="str">
        <f t="shared" si="24"/>
        <v>Sensitive</v>
      </c>
      <c r="J245" s="9">
        <v>15</v>
      </c>
      <c r="K245" s="9" t="str">
        <f t="shared" si="25"/>
        <v>Intermediate</v>
      </c>
      <c r="L245" s="9">
        <v>22</v>
      </c>
      <c r="M245" s="28" t="str">
        <f t="shared" si="26"/>
        <v>Intermediate</v>
      </c>
      <c r="N245" s="9">
        <f t="shared" si="27"/>
        <v>1</v>
      </c>
      <c r="O245" s="9" t="str">
        <f t="shared" si="21"/>
        <v>Susceptible</v>
      </c>
    </row>
    <row r="246" spans="1:15">
      <c r="A246" s="24" t="s">
        <v>319</v>
      </c>
      <c r="B246" s="25" t="s">
        <v>61</v>
      </c>
      <c r="C246" s="25" t="s">
        <v>60</v>
      </c>
      <c r="D246" s="25">
        <v>30</v>
      </c>
      <c r="E246" s="17" t="str">
        <f t="shared" si="22"/>
        <v>Sensitive</v>
      </c>
      <c r="F246" s="25">
        <v>0</v>
      </c>
      <c r="G246" s="17" t="str">
        <f t="shared" si="23"/>
        <v>Resistant</v>
      </c>
      <c r="H246" s="25">
        <v>20</v>
      </c>
      <c r="I246" s="25" t="str">
        <f t="shared" si="24"/>
        <v>Sensitive</v>
      </c>
      <c r="J246" s="25">
        <v>12</v>
      </c>
      <c r="K246" s="25" t="str">
        <f t="shared" si="25"/>
        <v>Resistant</v>
      </c>
      <c r="L246" s="25">
        <v>22</v>
      </c>
      <c r="M246" s="29" t="str">
        <f t="shared" si="26"/>
        <v>Intermediate</v>
      </c>
      <c r="N246" s="25">
        <f t="shared" si="27"/>
        <v>2</v>
      </c>
      <c r="O246" s="25" t="str">
        <f t="shared" si="21"/>
        <v>Susceptible</v>
      </c>
    </row>
    <row r="247" spans="1:15">
      <c r="A247" s="20" t="s">
        <v>320</v>
      </c>
      <c r="B247" s="9" t="s">
        <v>61</v>
      </c>
      <c r="C247" s="9" t="s">
        <v>60</v>
      </c>
      <c r="D247" s="9">
        <v>25</v>
      </c>
      <c r="E247" s="17" t="str">
        <f t="shared" si="22"/>
        <v>Sensitive</v>
      </c>
      <c r="F247" s="9">
        <v>25</v>
      </c>
      <c r="G247" s="17" t="str">
        <f t="shared" si="23"/>
        <v>Sensitive</v>
      </c>
      <c r="H247" s="9">
        <v>30</v>
      </c>
      <c r="I247" s="9" t="str">
        <f t="shared" si="24"/>
        <v>Sensitive</v>
      </c>
      <c r="J247" s="9">
        <v>10</v>
      </c>
      <c r="K247" s="9" t="str">
        <f t="shared" si="25"/>
        <v>Resistant</v>
      </c>
      <c r="L247" s="9">
        <v>25</v>
      </c>
      <c r="M247" s="28" t="str">
        <f t="shared" si="26"/>
        <v>Intermediate</v>
      </c>
      <c r="N247" s="9">
        <f t="shared" si="27"/>
        <v>1</v>
      </c>
      <c r="O247" s="9" t="str">
        <f t="shared" si="21"/>
        <v>Susceptible</v>
      </c>
    </row>
    <row r="248" spans="1:15">
      <c r="A248" s="24" t="s">
        <v>321</v>
      </c>
      <c r="B248" s="25" t="s">
        <v>61</v>
      </c>
      <c r="C248" s="25" t="s">
        <v>60</v>
      </c>
      <c r="D248" s="25">
        <v>25</v>
      </c>
      <c r="E248" s="17" t="str">
        <f t="shared" si="22"/>
        <v>Sensitive</v>
      </c>
      <c r="F248" s="25">
        <v>0</v>
      </c>
      <c r="G248" s="17" t="str">
        <f t="shared" si="23"/>
        <v>Resistant</v>
      </c>
      <c r="H248" s="25">
        <v>0</v>
      </c>
      <c r="I248" s="25" t="str">
        <f t="shared" si="24"/>
        <v>Resistant</v>
      </c>
      <c r="J248" s="25">
        <v>15</v>
      </c>
      <c r="K248" s="25" t="str">
        <f t="shared" si="25"/>
        <v>Intermediate</v>
      </c>
      <c r="L248" s="25">
        <v>10</v>
      </c>
      <c r="M248" s="29" t="str">
        <f t="shared" si="26"/>
        <v>Resistant</v>
      </c>
      <c r="N248" s="25">
        <f t="shared" si="27"/>
        <v>3</v>
      </c>
      <c r="O248" s="25" t="str">
        <f t="shared" si="21"/>
        <v>MDR</v>
      </c>
    </row>
    <row r="249" spans="1:15">
      <c r="A249" s="20" t="s">
        <v>322</v>
      </c>
      <c r="B249" s="9" t="s">
        <v>61</v>
      </c>
      <c r="C249" s="9" t="s">
        <v>60</v>
      </c>
      <c r="D249" s="9">
        <v>30</v>
      </c>
      <c r="E249" s="17" t="str">
        <f t="shared" si="22"/>
        <v>Sensitive</v>
      </c>
      <c r="F249" s="9">
        <v>0</v>
      </c>
      <c r="G249" s="17" t="str">
        <f t="shared" si="23"/>
        <v>Resistant</v>
      </c>
      <c r="H249" s="9">
        <v>17</v>
      </c>
      <c r="I249" s="9" t="str">
        <f t="shared" si="24"/>
        <v>Sensitive</v>
      </c>
      <c r="J249" s="9">
        <v>12</v>
      </c>
      <c r="K249" s="9" t="str">
        <f t="shared" si="25"/>
        <v>Resistant</v>
      </c>
      <c r="L249" s="9">
        <v>28</v>
      </c>
      <c r="M249" s="28" t="str">
        <f t="shared" si="26"/>
        <v>Sensitive</v>
      </c>
      <c r="N249" s="9">
        <f t="shared" si="27"/>
        <v>2</v>
      </c>
      <c r="O249" s="9" t="str">
        <f t="shared" si="21"/>
        <v>Susceptible</v>
      </c>
    </row>
    <row r="250" spans="1:15">
      <c r="A250" s="24" t="s">
        <v>323</v>
      </c>
      <c r="B250" s="25" t="s">
        <v>61</v>
      </c>
      <c r="C250" s="25" t="s">
        <v>60</v>
      </c>
      <c r="D250" s="25">
        <v>35</v>
      </c>
      <c r="E250" s="17" t="str">
        <f t="shared" si="22"/>
        <v>Sensitive</v>
      </c>
      <c r="F250" s="25">
        <v>19</v>
      </c>
      <c r="G250" s="17" t="str">
        <f t="shared" si="23"/>
        <v>Intermediate</v>
      </c>
      <c r="H250" s="25">
        <v>25</v>
      </c>
      <c r="I250" s="25" t="str">
        <f t="shared" si="24"/>
        <v>Sensitive</v>
      </c>
      <c r="J250" s="25">
        <v>27</v>
      </c>
      <c r="K250" s="25" t="str">
        <f t="shared" si="25"/>
        <v>Sensitive</v>
      </c>
      <c r="L250" s="25">
        <v>25</v>
      </c>
      <c r="M250" s="29" t="str">
        <f t="shared" si="26"/>
        <v>Intermediate</v>
      </c>
      <c r="N250" s="25">
        <f t="shared" si="27"/>
        <v>0</v>
      </c>
      <c r="O250" s="25" t="str">
        <f t="shared" si="21"/>
        <v>Susceptible</v>
      </c>
    </row>
    <row r="251" spans="1:15">
      <c r="A251" s="20" t="s">
        <v>324</v>
      </c>
      <c r="B251" s="9" t="s">
        <v>61</v>
      </c>
      <c r="C251" s="9" t="s">
        <v>60</v>
      </c>
      <c r="D251" s="9">
        <v>32</v>
      </c>
      <c r="E251" s="17" t="str">
        <f t="shared" si="22"/>
        <v>Sensitive</v>
      </c>
      <c r="F251" s="9">
        <v>9</v>
      </c>
      <c r="G251" s="17" t="str">
        <f t="shared" si="23"/>
        <v>Resistant</v>
      </c>
      <c r="H251" s="9">
        <v>25</v>
      </c>
      <c r="I251" s="9" t="str">
        <f t="shared" si="24"/>
        <v>Sensitive</v>
      </c>
      <c r="J251" s="9">
        <v>10</v>
      </c>
      <c r="K251" s="9" t="str">
        <f t="shared" si="25"/>
        <v>Resistant</v>
      </c>
      <c r="L251" s="9">
        <v>25</v>
      </c>
      <c r="M251" s="28" t="str">
        <f t="shared" si="26"/>
        <v>Intermediate</v>
      </c>
      <c r="N251" s="9">
        <f t="shared" si="27"/>
        <v>2</v>
      </c>
      <c r="O251" s="9" t="str">
        <f t="shared" si="21"/>
        <v>Susceptible</v>
      </c>
    </row>
    <row r="252" spans="1:15">
      <c r="A252" s="24" t="s">
        <v>325</v>
      </c>
      <c r="B252" s="25" t="s">
        <v>61</v>
      </c>
      <c r="C252" s="25" t="s">
        <v>60</v>
      </c>
      <c r="D252" s="25">
        <v>23</v>
      </c>
      <c r="E252" s="17" t="str">
        <f t="shared" si="22"/>
        <v>Sensitive</v>
      </c>
      <c r="F252" s="25">
        <v>0</v>
      </c>
      <c r="G252" s="17" t="str">
        <f t="shared" si="23"/>
        <v>Resistant</v>
      </c>
      <c r="H252" s="25">
        <v>20</v>
      </c>
      <c r="I252" s="25" t="str">
        <f t="shared" si="24"/>
        <v>Sensitive</v>
      </c>
      <c r="J252" s="25">
        <v>15</v>
      </c>
      <c r="K252" s="25" t="str">
        <f t="shared" si="25"/>
        <v>Intermediate</v>
      </c>
      <c r="L252" s="25">
        <v>23</v>
      </c>
      <c r="M252" s="29" t="str">
        <f t="shared" si="26"/>
        <v>Intermediate</v>
      </c>
      <c r="N252" s="25">
        <f t="shared" si="27"/>
        <v>1</v>
      </c>
      <c r="O252" s="25" t="str">
        <f t="shared" si="21"/>
        <v>Susceptible</v>
      </c>
    </row>
    <row r="253" spans="1:15">
      <c r="A253" s="20" t="s">
        <v>326</v>
      </c>
      <c r="B253" s="9" t="s">
        <v>61</v>
      </c>
      <c r="C253" s="9" t="s">
        <v>60</v>
      </c>
      <c r="D253" s="9">
        <v>20</v>
      </c>
      <c r="E253" s="17" t="str">
        <f t="shared" si="22"/>
        <v>Intermediate</v>
      </c>
      <c r="F253" s="9">
        <v>20</v>
      </c>
      <c r="G253" s="17" t="str">
        <f t="shared" si="23"/>
        <v>Intermediate</v>
      </c>
      <c r="H253" s="9">
        <v>18</v>
      </c>
      <c r="I253" s="9" t="str">
        <f t="shared" si="24"/>
        <v>Sensitive</v>
      </c>
      <c r="J253" s="9">
        <v>0</v>
      </c>
      <c r="K253" s="9" t="str">
        <f t="shared" si="25"/>
        <v>Resistant</v>
      </c>
      <c r="L253" s="9">
        <v>25</v>
      </c>
      <c r="M253" s="28" t="str">
        <f t="shared" si="26"/>
        <v>Intermediate</v>
      </c>
      <c r="N253" s="9">
        <f t="shared" si="27"/>
        <v>1</v>
      </c>
      <c r="O253" s="9" t="str">
        <f t="shared" si="21"/>
        <v>Susceptible</v>
      </c>
    </row>
    <row r="254" spans="1:15">
      <c r="A254" s="24" t="s">
        <v>327</v>
      </c>
      <c r="B254" s="25" t="s">
        <v>61</v>
      </c>
      <c r="C254" s="25" t="s">
        <v>60</v>
      </c>
      <c r="D254" s="25">
        <v>20</v>
      </c>
      <c r="E254" s="17" t="str">
        <f t="shared" si="22"/>
        <v>Intermediate</v>
      </c>
      <c r="F254" s="25">
        <v>20</v>
      </c>
      <c r="G254" s="17" t="str">
        <f t="shared" si="23"/>
        <v>Intermediate</v>
      </c>
      <c r="H254" s="25">
        <v>20</v>
      </c>
      <c r="I254" s="25" t="str">
        <f t="shared" si="24"/>
        <v>Sensitive</v>
      </c>
      <c r="J254" s="25">
        <v>0</v>
      </c>
      <c r="K254" s="25" t="str">
        <f t="shared" si="25"/>
        <v>Resistant</v>
      </c>
      <c r="L254" s="25">
        <v>28</v>
      </c>
      <c r="M254" s="29" t="str">
        <f t="shared" si="26"/>
        <v>Sensitive</v>
      </c>
      <c r="N254" s="25">
        <f t="shared" si="27"/>
        <v>1</v>
      </c>
      <c r="O254" s="25" t="str">
        <f t="shared" si="21"/>
        <v>Susceptible</v>
      </c>
    </row>
    <row r="255" spans="1:15">
      <c r="A255" s="20" t="s">
        <v>328</v>
      </c>
      <c r="B255" s="9" t="s">
        <v>61</v>
      </c>
      <c r="C255" s="21" t="s">
        <v>59</v>
      </c>
      <c r="D255" s="9">
        <v>20</v>
      </c>
      <c r="E255" s="17" t="str">
        <f t="shared" si="22"/>
        <v>Intermediate</v>
      </c>
      <c r="F255" s="9">
        <v>0</v>
      </c>
      <c r="G255" s="17" t="str">
        <f t="shared" si="23"/>
        <v>Resistant</v>
      </c>
      <c r="H255" s="9">
        <v>18</v>
      </c>
      <c r="I255" s="9" t="str">
        <f t="shared" si="24"/>
        <v>Sensitive</v>
      </c>
      <c r="J255" s="9">
        <v>7</v>
      </c>
      <c r="K255" s="9" t="str">
        <f t="shared" si="25"/>
        <v>Resistant</v>
      </c>
      <c r="L255" s="9">
        <v>28</v>
      </c>
      <c r="M255" s="28" t="str">
        <f t="shared" si="26"/>
        <v>Sensitive</v>
      </c>
      <c r="N255" s="9">
        <f t="shared" si="27"/>
        <v>2</v>
      </c>
      <c r="O255" s="9" t="str">
        <f t="shared" si="21"/>
        <v>Susceptible</v>
      </c>
    </row>
    <row r="256" spans="1:15">
      <c r="A256" s="24" t="s">
        <v>329</v>
      </c>
      <c r="B256" s="25" t="s">
        <v>61</v>
      </c>
      <c r="C256" s="26" t="s">
        <v>59</v>
      </c>
      <c r="D256" s="25">
        <v>27</v>
      </c>
      <c r="E256" s="17" t="str">
        <f t="shared" si="22"/>
        <v>Sensitive</v>
      </c>
      <c r="F256" s="25">
        <v>0</v>
      </c>
      <c r="G256" s="17" t="str">
        <f t="shared" si="23"/>
        <v>Resistant</v>
      </c>
      <c r="H256" s="25">
        <v>20</v>
      </c>
      <c r="I256" s="25" t="str">
        <f t="shared" si="24"/>
        <v>Sensitive</v>
      </c>
      <c r="J256" s="25">
        <v>7</v>
      </c>
      <c r="K256" s="25" t="str">
        <f t="shared" si="25"/>
        <v>Resistant</v>
      </c>
      <c r="L256" s="25">
        <v>23</v>
      </c>
      <c r="M256" s="29" t="str">
        <f t="shared" si="26"/>
        <v>Intermediate</v>
      </c>
      <c r="N256" s="25">
        <f t="shared" si="27"/>
        <v>2</v>
      </c>
      <c r="O256" s="25" t="str">
        <f t="shared" si="21"/>
        <v>Susceptible</v>
      </c>
    </row>
    <row r="257" spans="1:15">
      <c r="A257" s="20" t="s">
        <v>330</v>
      </c>
      <c r="B257" s="9" t="s">
        <v>61</v>
      </c>
      <c r="C257" s="21" t="s">
        <v>59</v>
      </c>
      <c r="D257" s="9">
        <v>32</v>
      </c>
      <c r="E257" s="17" t="str">
        <f t="shared" si="22"/>
        <v>Sensitive</v>
      </c>
      <c r="F257" s="9">
        <v>7</v>
      </c>
      <c r="G257" s="17" t="str">
        <f t="shared" si="23"/>
        <v>Resistant</v>
      </c>
      <c r="H257" s="9">
        <v>19</v>
      </c>
      <c r="I257" s="9" t="str">
        <f t="shared" si="24"/>
        <v>Sensitive</v>
      </c>
      <c r="J257" s="9">
        <v>11</v>
      </c>
      <c r="K257" s="9" t="str">
        <f t="shared" si="25"/>
        <v>Resistant</v>
      </c>
      <c r="L257" s="9">
        <v>20</v>
      </c>
      <c r="M257" s="28" t="str">
        <f t="shared" si="26"/>
        <v>Resistant</v>
      </c>
      <c r="N257" s="9">
        <f t="shared" si="27"/>
        <v>3</v>
      </c>
      <c r="O257" s="9" t="str">
        <f t="shared" si="21"/>
        <v>MDR</v>
      </c>
    </row>
    <row r="258" spans="1:15">
      <c r="A258" s="24" t="s">
        <v>331</v>
      </c>
      <c r="B258" s="25" t="s">
        <v>61</v>
      </c>
      <c r="C258" s="26" t="s">
        <v>59</v>
      </c>
      <c r="D258" s="25">
        <v>33</v>
      </c>
      <c r="E258" s="17" t="str">
        <f t="shared" si="22"/>
        <v>Sensitive</v>
      </c>
      <c r="F258" s="25">
        <v>0</v>
      </c>
      <c r="G258" s="17" t="str">
        <f t="shared" si="23"/>
        <v>Resistant</v>
      </c>
      <c r="H258" s="25">
        <v>23</v>
      </c>
      <c r="I258" s="25" t="str">
        <f t="shared" si="24"/>
        <v>Sensitive</v>
      </c>
      <c r="J258" s="25">
        <v>13</v>
      </c>
      <c r="K258" s="25" t="str">
        <f t="shared" si="25"/>
        <v>Resistant</v>
      </c>
      <c r="L258" s="25">
        <v>23</v>
      </c>
      <c r="M258" s="29" t="str">
        <f t="shared" si="26"/>
        <v>Intermediate</v>
      </c>
      <c r="N258" s="25">
        <f t="shared" si="27"/>
        <v>2</v>
      </c>
      <c r="O258" s="25" t="str">
        <f t="shared" ref="O258:O275" si="28">_xlfn.IFS(N258&lt;=2, "Susceptible",N258=3,"MDR",N258=4, "XDR",N258=5, "XDR*")</f>
        <v>Susceptible</v>
      </c>
    </row>
    <row r="259" spans="1:15">
      <c r="A259" s="20" t="s">
        <v>332</v>
      </c>
      <c r="B259" s="9" t="s">
        <v>61</v>
      </c>
      <c r="C259" s="21" t="s">
        <v>59</v>
      </c>
      <c r="D259" s="9">
        <v>27</v>
      </c>
      <c r="E259" s="17" t="str">
        <f t="shared" ref="E259:E275" si="29">_xlfn.IFS(D259&lt;=19, "Resistant", D259&lt;=22, "Intermediate", D259&gt;=23, "Sensitive")</f>
        <v>Sensitive</v>
      </c>
      <c r="F259" s="9">
        <v>7</v>
      </c>
      <c r="G259" s="17" t="str">
        <f t="shared" ref="G259:G275" si="30">_xlfn.IFS(F259&lt;=17, "Resistant", F259&lt;=20, "Intermediate", F259&gt;=21, "Sensitive")</f>
        <v>Resistant</v>
      </c>
      <c r="H259" s="9">
        <v>19</v>
      </c>
      <c r="I259" s="9" t="str">
        <f t="shared" ref="I259:I275" si="31">_xlfn.IFS(H259&lt;=12, "Resistant", H259&lt;=14, "Intermediate", H259&gt;=15, "Sensitive")</f>
        <v>Sensitive</v>
      </c>
      <c r="J259" s="9">
        <v>10</v>
      </c>
      <c r="K259" s="9" t="str">
        <f t="shared" ref="K259:K275" si="32">_xlfn.IFS(J259&lt;=13, "Resistant", J259&lt;=17, "Intermediate", J259&gt;=18, "Sensitive")</f>
        <v>Resistant</v>
      </c>
      <c r="L259" s="9">
        <v>0</v>
      </c>
      <c r="M259" s="28" t="str">
        <f t="shared" ref="M259:M275" si="33">_xlfn.IFS(L259&lt;=21, "Resistant", L259&lt;=25, "Intermediate", L259&gt;=26, "Sensitive")</f>
        <v>Resistant</v>
      </c>
      <c r="N259" s="9">
        <f t="shared" ref="N259:N275" si="34">COUNTIF(E259:M259,"Resistant")</f>
        <v>3</v>
      </c>
      <c r="O259" s="9" t="str">
        <f t="shared" si="28"/>
        <v>MDR</v>
      </c>
    </row>
    <row r="260" spans="1:15">
      <c r="A260" s="24" t="s">
        <v>333</v>
      </c>
      <c r="B260" s="25" t="s">
        <v>61</v>
      </c>
      <c r="C260" s="26" t="s">
        <v>59</v>
      </c>
      <c r="D260" s="25">
        <v>35</v>
      </c>
      <c r="E260" s="17" t="str">
        <f t="shared" si="29"/>
        <v>Sensitive</v>
      </c>
      <c r="F260" s="25">
        <v>0</v>
      </c>
      <c r="G260" s="17" t="str">
        <f t="shared" si="30"/>
        <v>Resistant</v>
      </c>
      <c r="H260" s="25">
        <v>13</v>
      </c>
      <c r="I260" s="25" t="str">
        <f t="shared" si="31"/>
        <v>Intermediate</v>
      </c>
      <c r="J260" s="25">
        <v>12</v>
      </c>
      <c r="K260" s="25" t="str">
        <f t="shared" si="32"/>
        <v>Resistant</v>
      </c>
      <c r="L260" s="25">
        <v>20</v>
      </c>
      <c r="M260" s="29" t="str">
        <f t="shared" si="33"/>
        <v>Resistant</v>
      </c>
      <c r="N260" s="25">
        <f t="shared" si="34"/>
        <v>3</v>
      </c>
      <c r="O260" s="25" t="str">
        <f t="shared" si="28"/>
        <v>MDR</v>
      </c>
    </row>
    <row r="261" spans="1:15">
      <c r="A261" s="20" t="s">
        <v>334</v>
      </c>
      <c r="B261" s="9" t="s">
        <v>61</v>
      </c>
      <c r="C261" s="21" t="s">
        <v>59</v>
      </c>
      <c r="D261" s="9">
        <v>20</v>
      </c>
      <c r="E261" s="17" t="str">
        <f t="shared" si="29"/>
        <v>Intermediate</v>
      </c>
      <c r="F261" s="9">
        <v>25</v>
      </c>
      <c r="G261" s="17" t="str">
        <f t="shared" si="30"/>
        <v>Sensitive</v>
      </c>
      <c r="H261" s="9">
        <v>18</v>
      </c>
      <c r="I261" s="9" t="str">
        <f t="shared" si="31"/>
        <v>Sensitive</v>
      </c>
      <c r="J261" s="9">
        <v>0</v>
      </c>
      <c r="K261" s="9" t="str">
        <f t="shared" si="32"/>
        <v>Resistant</v>
      </c>
      <c r="L261" s="9">
        <v>23</v>
      </c>
      <c r="M261" s="28" t="str">
        <f t="shared" si="33"/>
        <v>Intermediate</v>
      </c>
      <c r="N261" s="9">
        <f t="shared" si="34"/>
        <v>1</v>
      </c>
      <c r="O261" s="9" t="str">
        <f t="shared" si="28"/>
        <v>Susceptible</v>
      </c>
    </row>
    <row r="262" spans="1:15">
      <c r="A262" s="24" t="s">
        <v>335</v>
      </c>
      <c r="B262" s="25" t="s">
        <v>61</v>
      </c>
      <c r="C262" s="26" t="s">
        <v>59</v>
      </c>
      <c r="D262" s="25">
        <v>18</v>
      </c>
      <c r="E262" s="17" t="str">
        <f t="shared" si="29"/>
        <v>Resistant</v>
      </c>
      <c r="F262" s="25">
        <v>0</v>
      </c>
      <c r="G262" s="17" t="str">
        <f t="shared" si="30"/>
        <v>Resistant</v>
      </c>
      <c r="H262" s="25">
        <v>17</v>
      </c>
      <c r="I262" s="25" t="str">
        <f t="shared" si="31"/>
        <v>Sensitive</v>
      </c>
      <c r="J262" s="25">
        <v>11</v>
      </c>
      <c r="K262" s="25" t="str">
        <f t="shared" si="32"/>
        <v>Resistant</v>
      </c>
      <c r="L262" s="25">
        <v>25</v>
      </c>
      <c r="M262" s="29" t="str">
        <f t="shared" si="33"/>
        <v>Intermediate</v>
      </c>
      <c r="N262" s="25">
        <f t="shared" si="34"/>
        <v>3</v>
      </c>
      <c r="O262" s="25" t="str">
        <f t="shared" si="28"/>
        <v>MDR</v>
      </c>
    </row>
    <row r="263" spans="1:15">
      <c r="A263" s="20" t="s">
        <v>336</v>
      </c>
      <c r="B263" s="9" t="s">
        <v>61</v>
      </c>
      <c r="C263" s="21" t="s">
        <v>59</v>
      </c>
      <c r="D263" s="9">
        <v>17</v>
      </c>
      <c r="E263" s="17" t="str">
        <f t="shared" si="29"/>
        <v>Resistant</v>
      </c>
      <c r="F263" s="9">
        <v>0</v>
      </c>
      <c r="G263" s="17" t="str">
        <f t="shared" si="30"/>
        <v>Resistant</v>
      </c>
      <c r="H263" s="9">
        <v>17</v>
      </c>
      <c r="I263" s="9" t="str">
        <f t="shared" si="31"/>
        <v>Sensitive</v>
      </c>
      <c r="J263" s="9">
        <v>15</v>
      </c>
      <c r="K263" s="9" t="str">
        <f t="shared" si="32"/>
        <v>Intermediate</v>
      </c>
      <c r="L263" s="9">
        <v>20</v>
      </c>
      <c r="M263" s="28" t="str">
        <f t="shared" si="33"/>
        <v>Resistant</v>
      </c>
      <c r="N263" s="9">
        <f t="shared" si="34"/>
        <v>3</v>
      </c>
      <c r="O263" s="9" t="str">
        <f t="shared" si="28"/>
        <v>MDR</v>
      </c>
    </row>
    <row r="264" spans="1:15">
      <c r="A264" s="24" t="s">
        <v>337</v>
      </c>
      <c r="B264" s="25" t="s">
        <v>61</v>
      </c>
      <c r="C264" s="26" t="s">
        <v>59</v>
      </c>
      <c r="D264" s="25">
        <v>20</v>
      </c>
      <c r="E264" s="17" t="str">
        <f t="shared" si="29"/>
        <v>Intermediate</v>
      </c>
      <c r="F264" s="25">
        <v>19</v>
      </c>
      <c r="G264" s="17" t="str">
        <f t="shared" si="30"/>
        <v>Intermediate</v>
      </c>
      <c r="H264" s="25">
        <v>15</v>
      </c>
      <c r="I264" s="25" t="str">
        <f t="shared" si="31"/>
        <v>Sensitive</v>
      </c>
      <c r="J264" s="25">
        <v>15</v>
      </c>
      <c r="K264" s="25" t="str">
        <f t="shared" si="32"/>
        <v>Intermediate</v>
      </c>
      <c r="L264" s="25">
        <v>22</v>
      </c>
      <c r="M264" s="29" t="str">
        <f t="shared" si="33"/>
        <v>Intermediate</v>
      </c>
      <c r="N264" s="25">
        <f t="shared" si="34"/>
        <v>0</v>
      </c>
      <c r="O264" s="25" t="str">
        <f t="shared" si="28"/>
        <v>Susceptible</v>
      </c>
    </row>
    <row r="265" spans="1:15">
      <c r="A265" s="20" t="s">
        <v>338</v>
      </c>
      <c r="B265" s="9" t="s">
        <v>61</v>
      </c>
      <c r="C265" s="21" t="s">
        <v>59</v>
      </c>
      <c r="D265" s="9">
        <v>20</v>
      </c>
      <c r="E265" s="17" t="str">
        <f t="shared" si="29"/>
        <v>Intermediate</v>
      </c>
      <c r="F265" s="9">
        <v>10</v>
      </c>
      <c r="G265" s="17" t="str">
        <f t="shared" si="30"/>
        <v>Resistant</v>
      </c>
      <c r="H265" s="9">
        <v>20</v>
      </c>
      <c r="I265" s="9" t="str">
        <f t="shared" si="31"/>
        <v>Sensitive</v>
      </c>
      <c r="J265" s="9">
        <v>17</v>
      </c>
      <c r="K265" s="9" t="str">
        <f t="shared" si="32"/>
        <v>Intermediate</v>
      </c>
      <c r="L265" s="9">
        <v>30</v>
      </c>
      <c r="M265" s="28" t="str">
        <f t="shared" si="33"/>
        <v>Sensitive</v>
      </c>
      <c r="N265" s="9">
        <f t="shared" si="34"/>
        <v>1</v>
      </c>
      <c r="O265" s="9" t="str">
        <f t="shared" si="28"/>
        <v>Susceptible</v>
      </c>
    </row>
    <row r="266" spans="1:15">
      <c r="A266" s="24" t="s">
        <v>339</v>
      </c>
      <c r="B266" s="25" t="s">
        <v>61</v>
      </c>
      <c r="C266" s="26" t="s">
        <v>59</v>
      </c>
      <c r="D266" s="25">
        <v>30</v>
      </c>
      <c r="E266" s="17" t="str">
        <f t="shared" si="29"/>
        <v>Sensitive</v>
      </c>
      <c r="F266" s="25">
        <v>0</v>
      </c>
      <c r="G266" s="17" t="str">
        <f t="shared" si="30"/>
        <v>Resistant</v>
      </c>
      <c r="H266" s="25">
        <v>15</v>
      </c>
      <c r="I266" s="25" t="str">
        <f t="shared" si="31"/>
        <v>Sensitive</v>
      </c>
      <c r="J266" s="25">
        <v>15</v>
      </c>
      <c r="K266" s="25" t="str">
        <f t="shared" si="32"/>
        <v>Intermediate</v>
      </c>
      <c r="L266" s="25">
        <v>13</v>
      </c>
      <c r="M266" s="29" t="str">
        <f t="shared" si="33"/>
        <v>Resistant</v>
      </c>
      <c r="N266" s="25">
        <f t="shared" si="34"/>
        <v>2</v>
      </c>
      <c r="O266" s="25" t="str">
        <f t="shared" si="28"/>
        <v>Susceptible</v>
      </c>
    </row>
    <row r="267" spans="1:15">
      <c r="A267" s="20" t="s">
        <v>340</v>
      </c>
      <c r="B267" s="9" t="s">
        <v>61</v>
      </c>
      <c r="C267" s="21" t="s">
        <v>59</v>
      </c>
      <c r="D267" s="9">
        <v>20</v>
      </c>
      <c r="E267" s="17" t="str">
        <f t="shared" si="29"/>
        <v>Intermediate</v>
      </c>
      <c r="F267" s="9">
        <v>25</v>
      </c>
      <c r="G267" s="17" t="str">
        <f t="shared" si="30"/>
        <v>Sensitive</v>
      </c>
      <c r="H267" s="9">
        <v>15</v>
      </c>
      <c r="I267" s="9" t="str">
        <f t="shared" si="31"/>
        <v>Sensitive</v>
      </c>
      <c r="J267" s="9">
        <v>12</v>
      </c>
      <c r="K267" s="9" t="str">
        <f t="shared" si="32"/>
        <v>Resistant</v>
      </c>
      <c r="L267" s="9">
        <v>25</v>
      </c>
      <c r="M267" s="28" t="str">
        <f t="shared" si="33"/>
        <v>Intermediate</v>
      </c>
      <c r="N267" s="9">
        <f t="shared" si="34"/>
        <v>1</v>
      </c>
      <c r="O267" s="9" t="str">
        <f t="shared" si="28"/>
        <v>Susceptible</v>
      </c>
    </row>
    <row r="268" spans="1:15">
      <c r="A268" s="24" t="s">
        <v>341</v>
      </c>
      <c r="B268" s="25" t="s">
        <v>61</v>
      </c>
      <c r="C268" s="26" t="s">
        <v>59</v>
      </c>
      <c r="D268" s="25">
        <v>34</v>
      </c>
      <c r="E268" s="17" t="str">
        <f t="shared" si="29"/>
        <v>Sensitive</v>
      </c>
      <c r="F268" s="25">
        <v>0</v>
      </c>
      <c r="G268" s="17" t="str">
        <f t="shared" si="30"/>
        <v>Resistant</v>
      </c>
      <c r="H268" s="25">
        <v>20</v>
      </c>
      <c r="I268" s="25" t="str">
        <f t="shared" si="31"/>
        <v>Sensitive</v>
      </c>
      <c r="J268" s="25">
        <v>15</v>
      </c>
      <c r="K268" s="25" t="str">
        <f t="shared" si="32"/>
        <v>Intermediate</v>
      </c>
      <c r="L268" s="25">
        <v>20</v>
      </c>
      <c r="M268" s="29" t="str">
        <f t="shared" si="33"/>
        <v>Resistant</v>
      </c>
      <c r="N268" s="25">
        <f t="shared" si="34"/>
        <v>2</v>
      </c>
      <c r="O268" s="25" t="str">
        <f t="shared" si="28"/>
        <v>Susceptible</v>
      </c>
    </row>
    <row r="269" spans="1:15">
      <c r="A269" s="20" t="s">
        <v>342</v>
      </c>
      <c r="B269" s="9" t="s">
        <v>61</v>
      </c>
      <c r="C269" s="21" t="s">
        <v>59</v>
      </c>
      <c r="D269" s="9">
        <v>25</v>
      </c>
      <c r="E269" s="17" t="str">
        <f t="shared" si="29"/>
        <v>Sensitive</v>
      </c>
      <c r="F269" s="9">
        <v>0</v>
      </c>
      <c r="G269" s="17" t="str">
        <f t="shared" si="30"/>
        <v>Resistant</v>
      </c>
      <c r="H269" s="9">
        <v>20</v>
      </c>
      <c r="I269" s="9" t="str">
        <f t="shared" si="31"/>
        <v>Sensitive</v>
      </c>
      <c r="J269" s="9">
        <v>15</v>
      </c>
      <c r="K269" s="9" t="str">
        <f t="shared" si="32"/>
        <v>Intermediate</v>
      </c>
      <c r="L269" s="9">
        <v>19</v>
      </c>
      <c r="M269" s="28" t="str">
        <f t="shared" si="33"/>
        <v>Resistant</v>
      </c>
      <c r="N269" s="9">
        <f t="shared" si="34"/>
        <v>2</v>
      </c>
      <c r="O269" s="9" t="str">
        <f t="shared" si="28"/>
        <v>Susceptible</v>
      </c>
    </row>
    <row r="270" spans="1:15">
      <c r="A270" s="24" t="s">
        <v>343</v>
      </c>
      <c r="B270" s="25" t="s">
        <v>61</v>
      </c>
      <c r="C270" s="26" t="s">
        <v>59</v>
      </c>
      <c r="D270" s="25">
        <v>25</v>
      </c>
      <c r="E270" s="17" t="str">
        <f t="shared" si="29"/>
        <v>Sensitive</v>
      </c>
      <c r="F270" s="25">
        <v>7</v>
      </c>
      <c r="G270" s="17" t="str">
        <f t="shared" si="30"/>
        <v>Resistant</v>
      </c>
      <c r="H270" s="25">
        <v>18</v>
      </c>
      <c r="I270" s="25" t="str">
        <f t="shared" si="31"/>
        <v>Sensitive</v>
      </c>
      <c r="J270" s="25">
        <v>15</v>
      </c>
      <c r="K270" s="25" t="str">
        <f t="shared" si="32"/>
        <v>Intermediate</v>
      </c>
      <c r="L270" s="25">
        <v>27</v>
      </c>
      <c r="M270" s="29" t="str">
        <f t="shared" si="33"/>
        <v>Sensitive</v>
      </c>
      <c r="N270" s="25">
        <f t="shared" si="34"/>
        <v>1</v>
      </c>
      <c r="O270" s="25" t="str">
        <f t="shared" si="28"/>
        <v>Susceptible</v>
      </c>
    </row>
    <row r="271" spans="1:15">
      <c r="A271" s="20" t="s">
        <v>344</v>
      </c>
      <c r="B271" s="9" t="s">
        <v>61</v>
      </c>
      <c r="C271" s="21" t="s">
        <v>59</v>
      </c>
      <c r="D271" s="9">
        <v>33</v>
      </c>
      <c r="E271" s="17" t="str">
        <f t="shared" si="29"/>
        <v>Sensitive</v>
      </c>
      <c r="F271" s="9">
        <v>0</v>
      </c>
      <c r="G271" s="17" t="str">
        <f t="shared" si="30"/>
        <v>Resistant</v>
      </c>
      <c r="H271" s="9">
        <v>0</v>
      </c>
      <c r="I271" s="9" t="str">
        <f t="shared" si="31"/>
        <v>Resistant</v>
      </c>
      <c r="J271" s="9">
        <v>12</v>
      </c>
      <c r="K271" s="9" t="str">
        <f t="shared" si="32"/>
        <v>Resistant</v>
      </c>
      <c r="L271" s="9">
        <v>25</v>
      </c>
      <c r="M271" s="28" t="str">
        <f t="shared" si="33"/>
        <v>Intermediate</v>
      </c>
      <c r="N271" s="9">
        <f t="shared" si="34"/>
        <v>3</v>
      </c>
      <c r="O271" s="9" t="str">
        <f t="shared" si="28"/>
        <v>MDR</v>
      </c>
    </row>
    <row r="272" spans="1:15">
      <c r="A272" s="24" t="s">
        <v>345</v>
      </c>
      <c r="B272" s="25" t="s">
        <v>61</v>
      </c>
      <c r="C272" s="26" t="s">
        <v>59</v>
      </c>
      <c r="D272" s="25">
        <v>30</v>
      </c>
      <c r="E272" s="17" t="str">
        <f t="shared" si="29"/>
        <v>Sensitive</v>
      </c>
      <c r="F272" s="25">
        <v>0</v>
      </c>
      <c r="G272" s="17" t="str">
        <f t="shared" si="30"/>
        <v>Resistant</v>
      </c>
      <c r="H272" s="25">
        <v>20</v>
      </c>
      <c r="I272" s="25" t="str">
        <f t="shared" si="31"/>
        <v>Sensitive</v>
      </c>
      <c r="J272" s="25">
        <v>12</v>
      </c>
      <c r="K272" s="25" t="str">
        <f t="shared" si="32"/>
        <v>Resistant</v>
      </c>
      <c r="L272" s="25">
        <v>23</v>
      </c>
      <c r="M272" s="29" t="str">
        <f t="shared" si="33"/>
        <v>Intermediate</v>
      </c>
      <c r="N272" s="25">
        <f t="shared" si="34"/>
        <v>2</v>
      </c>
      <c r="O272" s="25" t="str">
        <f t="shared" si="28"/>
        <v>Susceptible</v>
      </c>
    </row>
    <row r="273" spans="1:15">
      <c r="A273" s="20" t="s">
        <v>346</v>
      </c>
      <c r="B273" s="9" t="s">
        <v>61</v>
      </c>
      <c r="C273" s="21" t="s">
        <v>59</v>
      </c>
      <c r="D273" s="9">
        <v>23</v>
      </c>
      <c r="E273" s="17" t="str">
        <f t="shared" si="29"/>
        <v>Sensitive</v>
      </c>
      <c r="F273" s="9">
        <v>30</v>
      </c>
      <c r="G273" s="17" t="str">
        <f t="shared" si="30"/>
        <v>Sensitive</v>
      </c>
      <c r="H273" s="9">
        <v>20</v>
      </c>
      <c r="I273" s="9" t="str">
        <f t="shared" si="31"/>
        <v>Sensitive</v>
      </c>
      <c r="J273" s="9">
        <v>12</v>
      </c>
      <c r="K273" s="9" t="str">
        <f t="shared" si="32"/>
        <v>Resistant</v>
      </c>
      <c r="L273" s="9">
        <v>35</v>
      </c>
      <c r="M273" s="28" t="str">
        <f t="shared" si="33"/>
        <v>Sensitive</v>
      </c>
      <c r="N273" s="9">
        <f t="shared" si="34"/>
        <v>1</v>
      </c>
      <c r="O273" s="9" t="str">
        <f t="shared" si="28"/>
        <v>Susceptible</v>
      </c>
    </row>
    <row r="274" spans="1:15">
      <c r="A274" s="24" t="s">
        <v>347</v>
      </c>
      <c r="B274" s="25" t="s">
        <v>61</v>
      </c>
      <c r="C274" s="26" t="s">
        <v>59</v>
      </c>
      <c r="D274" s="25">
        <v>21</v>
      </c>
      <c r="E274" s="17" t="str">
        <f t="shared" si="29"/>
        <v>Intermediate</v>
      </c>
      <c r="F274" s="25">
        <v>0</v>
      </c>
      <c r="G274" s="17" t="str">
        <f t="shared" si="30"/>
        <v>Resistant</v>
      </c>
      <c r="H274" s="25">
        <v>18</v>
      </c>
      <c r="I274" s="25" t="str">
        <f t="shared" si="31"/>
        <v>Sensitive</v>
      </c>
      <c r="J274" s="25">
        <v>12</v>
      </c>
      <c r="K274" s="25" t="str">
        <f t="shared" si="32"/>
        <v>Resistant</v>
      </c>
      <c r="L274" s="25">
        <v>20</v>
      </c>
      <c r="M274" s="29" t="str">
        <f t="shared" si="33"/>
        <v>Resistant</v>
      </c>
      <c r="N274" s="25">
        <f t="shared" si="34"/>
        <v>3</v>
      </c>
      <c r="O274" s="25" t="str">
        <f t="shared" si="28"/>
        <v>MDR</v>
      </c>
    </row>
    <row r="275" spans="1:15">
      <c r="A275" s="20" t="s">
        <v>348</v>
      </c>
      <c r="B275" s="9" t="s">
        <v>61</v>
      </c>
      <c r="C275" s="21" t="s">
        <v>59</v>
      </c>
      <c r="D275" s="9">
        <v>24</v>
      </c>
      <c r="E275" s="30" t="str">
        <f t="shared" si="29"/>
        <v>Sensitive</v>
      </c>
      <c r="F275" s="9">
        <v>0</v>
      </c>
      <c r="G275" s="30" t="str">
        <f t="shared" si="30"/>
        <v>Resistant</v>
      </c>
      <c r="H275" s="9">
        <v>22</v>
      </c>
      <c r="I275" s="9" t="str">
        <f t="shared" si="31"/>
        <v>Sensitive</v>
      </c>
      <c r="J275" s="9">
        <v>11</v>
      </c>
      <c r="K275" s="9" t="str">
        <f t="shared" si="32"/>
        <v>Resistant</v>
      </c>
      <c r="L275" s="9">
        <v>23</v>
      </c>
      <c r="M275" s="28" t="str">
        <f t="shared" si="33"/>
        <v>Intermediate</v>
      </c>
      <c r="N275" s="9">
        <f t="shared" si="34"/>
        <v>2</v>
      </c>
      <c r="O275" s="9" t="str">
        <f t="shared" si="28"/>
        <v>Susceptible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1A0F-B002-43DA-A353-64DE1B78852F}">
  <dimension ref="A1:E6"/>
  <sheetViews>
    <sheetView workbookViewId="0">
      <selection activeCell="E11" sqref="E11"/>
    </sheetView>
  </sheetViews>
  <sheetFormatPr defaultRowHeight="14.4"/>
  <cols>
    <col min="1" max="1" width="10.88671875" customWidth="1"/>
    <col min="2" max="2" width="11.109375" customWidth="1"/>
    <col min="3" max="3" width="11.88671875" customWidth="1"/>
    <col min="4" max="4" width="15.5546875" customWidth="1"/>
    <col min="5" max="5" width="13" customWidth="1"/>
  </cols>
  <sheetData>
    <row r="1" spans="1:5" s="2" customFormat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5">
      <c r="A3" t="s">
        <v>27</v>
      </c>
      <c r="B3" t="s">
        <v>28</v>
      </c>
      <c r="C3" t="s">
        <v>29</v>
      </c>
      <c r="D3" t="s">
        <v>30</v>
      </c>
      <c r="E3" t="s">
        <v>31</v>
      </c>
    </row>
    <row r="4" spans="1:5">
      <c r="A4" t="s">
        <v>32</v>
      </c>
      <c r="B4" t="s">
        <v>23</v>
      </c>
      <c r="C4" t="s">
        <v>33</v>
      </c>
      <c r="D4" t="s">
        <v>34</v>
      </c>
      <c r="E4" t="s">
        <v>35</v>
      </c>
    </row>
    <row r="5" spans="1:5">
      <c r="A5" t="s">
        <v>36</v>
      </c>
      <c r="B5" t="s">
        <v>37</v>
      </c>
      <c r="C5" t="s">
        <v>38</v>
      </c>
      <c r="D5" t="s">
        <v>39</v>
      </c>
      <c r="E5" t="s">
        <v>40</v>
      </c>
    </row>
    <row r="6" spans="1:5">
      <c r="A6" t="s">
        <v>41</v>
      </c>
      <c r="B6" t="s">
        <v>42</v>
      </c>
      <c r="C6" t="s">
        <v>43</v>
      </c>
      <c r="D6" t="s">
        <v>44</v>
      </c>
      <c r="E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Antibiotics</vt:lpstr>
      <vt:lpstr>Sheet3</vt:lpstr>
      <vt:lpstr>townbysource</vt:lpstr>
      <vt:lpstr>Antibiotic 2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WAH3</cp:lastModifiedBy>
  <dcterms:created xsi:type="dcterms:W3CDTF">2023-09-29T20:42:50Z</dcterms:created>
  <dcterms:modified xsi:type="dcterms:W3CDTF">2026-04-14T13:46:07Z</dcterms:modified>
</cp:coreProperties>
</file>